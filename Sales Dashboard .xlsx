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E22AA19E7C7A070A/Documents/"/>
    </mc:Choice>
  </mc:AlternateContent>
  <xr:revisionPtr revIDLastSave="326" documentId="8_{1B3E43C6-C37E-49A9-9C05-8F8189B30D0F}" xr6:coauthVersionLast="47" xr6:coauthVersionMax="47" xr10:uidLastSave="{1ABDC661-C633-4421-A6E2-92FA3EFC86A0}"/>
  <bookViews>
    <workbookView xWindow="-108" yWindow="-108" windowWidth="23256" windowHeight="12456" xr2:uid="{C0893FBD-34B3-420E-B0D6-EC330180DDEA}"/>
  </bookViews>
  <sheets>
    <sheet name="Sheet1" sheetId="7" r:id="rId1"/>
    <sheet name="Sheet2" sheetId="4" r:id="rId2"/>
    <sheet name="SalesData" sheetId="3"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3" l="1"/>
  <c r="J6" i="3"/>
  <c r="J4"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<sst xmlns="http://schemas.openxmlformats.org/spreadsheetml/2006/main" count="203" uniqueCount="38">
  <si>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</si>
  <si>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</si>
  <si>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</si>
  <si>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</si>
  <si>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</si>
  <si>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</si>
  <si>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</si>
  <si>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</si>
  <si>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</si>
  <si>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</si>
  <si>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</si>
  <si>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</si>
  <si>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</si>
  <si>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</si>
  <si>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</si>
  <si>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</si>
  <si>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</si>
  <si>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</si>
  <si>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</si>
  <si>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</si>
  <si>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</si>
  <si>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</si>
  <si>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</si>
  <si>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</si>
  <si>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</si>
  <si>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</si>
  <si>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</si>
  <si>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</si>
  <si>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</si>
  <si>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</si>
  <si>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</si>
  <si>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</si>
  <si>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</si>
  <si>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Profit</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</si>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</sst>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Rs.&quot;\ * #,##0_ ;_ &quot;Rs.&quot;\ * \-#,##0_ ;_ &quot;Rs.&quot;\ * &quot;-&quot;_ ;_ @_ "/>
    <numFmt numFmtId="165" formatCode="&quot;₹&quot;\ #,##0.00"/>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pivotButton="1"/>
    <xf numFmtId="165" fontId="0" fillId="0" borderId="0" xfId="0" applyNumberFormat="1"/>
    <xf numFmtId="165" fontId="0" fillId="0" borderId="0" xfId="0" pivotButton="1" applyNumberFormat="1"/>
    <xf numFmtId="165" fontId="0" fillId="0" borderId="0" xfId="0" applyNumberFormat="1" applyAlignment="1">
      <alignment horizontal="left"/>
    </xf>
    <xf numFmtId="2" fontId="0" fillId="0" borderId="0" xfId="0" applyNumberFormat="1"/>
  </cellXfs>
  <cellStyles count="2">
    <cellStyle name="Currency [0]" xfId="1" builtinId="7"/>
    <cellStyle name="Normal" xfId="0" builtinId="0"/>
  </cellStyles>
  <dxfs count="20">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Lst>
        </c:dLbl>
      </c:pivotFmt>
      <c:pivotFmt>
        <c:idx val="4"/>
        <c:spPr>
          <a:solidFill>
            <a:schemeClr val="accent3"/>
          </a:solidFill>
          <a:ln w="19050">
            <a:solidFill>
              <a:schemeClr val="lt1"/>
            </a:solidFill>
          </a:ln>
          <a:effectLst/>
        </c:spPr>
        <c:dLbl>
          <c:idx val="0"/>
          <c:layout>
            <c:manualLayout>
              <c:x val="-0.14396456256921375"/>
              <c:y val="8.924587237840250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33333333333334"/>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Lst>
        </c:dLbl>
      </c:pivotFmt>
      <c:pivotFmt>
        <c:idx val="8"/>
        <c:spPr>
          <a:solidFill>
            <a:schemeClr val="accent1"/>
          </a:solidFill>
          <a:ln w="19050">
            <a:solidFill>
              <a:schemeClr val="lt1"/>
            </a:solidFill>
          </a:ln>
          <a:effectLst/>
        </c:spPr>
        <c:dLbl>
          <c:idx val="0"/>
          <c:layout>
            <c:manualLayout>
              <c:x val="-0.14396456256921375"/>
              <c:y val="8.924587237840250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833333333333334"/>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Lst>
        </c:dLbl>
      </c:pivotFmt>
      <c:pivotFmt>
        <c:idx val="13"/>
        <c:spPr>
          <a:solidFill>
            <a:schemeClr val="accent1"/>
          </a:solidFill>
          <a:ln w="19050">
            <a:solidFill>
              <a:schemeClr val="lt1"/>
            </a:solidFill>
          </a:ln>
          <a:effectLst/>
        </c:spPr>
        <c:dLbl>
          <c:idx val="0"/>
          <c:layout>
            <c:manualLayout>
              <c:x val="-0.14396456256921375"/>
              <c:y val="8.924587237840250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9D-435E-B5E8-C8B736B2B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9D-435E-B5E8-C8B736B2B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9D-435E-B5E8-C8B736B2B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9D-435E-B5E8-C8B736B2B716}"/>
              </c:ext>
            </c:extLst>
          </c:dPt>
          <c:dLbls>
            <c:dLbl>
              <c:idx val="0"/>
              <c:layout>
                <c:manualLayout>
                  <c:x val="0.10833333333333334"/>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9D-435E-B5E8-C8B736B2B716}"/>
                </c:ext>
              </c:extLst>
            </c:dLbl>
            <c:dLbl>
              <c:idx val="1"/>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 xmlns:c16="http://schemas.microsoft.com/office/drawing/2014/chart" uri="{C3380CC4-5D6E-409C-BE32-E72D297353CC}">
                  <c16:uniqueId val="{00000003-C89D-435E-B5E8-C8B736B2B716}"/>
                </c:ext>
              </c:extLst>
            </c:dLbl>
            <c:dLbl>
              <c:idx val="2"/>
              <c:layout>
                <c:manualLayout>
                  <c:x val="-0.14396456256921375"/>
                  <c:y val="8.92458723784025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9D-435E-B5E8-C8B736B2B716}"/>
                </c:ext>
              </c:extLst>
            </c:dLbl>
            <c:dLbl>
              <c:idx val="3"/>
              <c:layout>
                <c:manualLayout>
                  <c:x val="-0.1583333333333333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9D-435E-B5E8-C8B736B2B7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Sheet2!$A$6:$A$10</c:f>
              <c:strCache>
                <c:ptCount val="4"/>
                <c:pt idx="0">
                  <c:v>East</c:v>
                </c:pt>
                <c:pt idx="1">
                  <c:v>North</c:v>
                </c:pt>
                <c:pt idx="2">
                  <c:v>South</c:v>
                </c:pt>
                <c:pt idx="3">
                  <c:v>West</c:v>
                </c:pt>
              </c:strCache>
            </c:strRef>
          </c:cat>
          <c:val>
            <c:numRef>
              <c:f>Sheet2!$B$6:$B$10</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C89D-435E-B5E8-C8B736B2B71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c:f>
              <c:strCache>
                <c:ptCount val="1"/>
                <c:pt idx="0">
                  <c:v>Total</c:v>
                </c:pt>
              </c:strCache>
            </c:strRef>
          </c:tx>
          <c:spPr>
            <a:solidFill>
              <a:schemeClr val="accent1"/>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Sheet2!$D$8:$D$15</c:f>
              <c:strCache>
                <c:ptCount val="7"/>
                <c:pt idx="0">
                  <c:v>Action Figure</c:v>
                </c:pt>
                <c:pt idx="1">
                  <c:v>Blender</c:v>
                </c:pt>
                <c:pt idx="2">
                  <c:v>Moisturizer</c:v>
                </c:pt>
                <c:pt idx="3">
                  <c:v>Novel</c:v>
                </c:pt>
                <c:pt idx="4">
                  <c:v>Smartphone</c:v>
                </c:pt>
                <c:pt idx="5">
                  <c:v>Sneakers</c:v>
                </c:pt>
                <c:pt idx="6">
                  <c:v>Tent</c:v>
                </c:pt>
              </c:strCache>
            </c:strRef>
          </c:cat>
          <c:val>
            <c:numRef>
              <c:f>Sheet2!$E$8:$E$15</c:f>
              <c:numCache>
                <c:formatCode>"₹"\ #,##0.00</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A80B-4C6D-A196-7DFC02B0C2D5}"/>
            </c:ext>
          </c:extLst>
        </c:ser>
        <c:dLbls>
          <c:dLblPos val="outEnd"/>
          <c:showLegendKey val="0"/>
          <c:showVal val="1"/>
          <c:showCatName val="0"/>
          <c:showSerName val="0"/>
          <c:showPercent val="0"/>
          <c:showBubbleSize val="0"/>
        </c:dLbls>
        <c:gapWidth val="182"/>
        <c:axId val="1833952879"/>
        <c:axId val="1565817999"/>
      </c:barChart>
      <c:catAx>
        <c:axId val="183395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17999"/>
        <c:crosses val="autoZero"/>
        <c:auto val="1"/>
        <c:lblAlgn val="ctr"/>
        <c:lblOffset val="100"/>
        <c:noMultiLvlLbl val="0"/>
      </c:catAx>
      <c:valAx>
        <c:axId val="1565817999"/>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18339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Sheet2!$H$11</c:f>
              <c:strCache>
                <c:ptCount val="1"/>
                <c:pt idx="0">
                  <c:v>Total</c:v>
                </c:pt>
              </c:strCache>
            </c:strRef>
          </c:tx>
          <c:spPr>
            <a:solidFill>
              <a:schemeClr val="accent1"/>
            </a:solidFill>
            <a:ln>
              <a:noFill/>
            </a:ln>
            <a:effectLst/>
          </c:spPr>
          <c:invertIfNegative val="0"/>
          <c:dLbls>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Sheet2!$G$12:$G$22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Sheet2!$H$12:$H$22</c:f>
              <c:numCache>
                <c:formatCode>"₹"\ #,##0.00</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8653-4B07-9791-55629D3D1DF2}"/>
            </c:ext>
          </c:extLst>
        </c:ser>
        <c:dLbls>
          <c:dLblPos val="inEnd"/>
          <c:showLegendKey val="0"/>
          <c:showVal val="1"/>
          <c:showCatName val="0"/>
          <c:showSerName val="0"/>
          <c:showPercent val="0"/>
          <c:showBubbleSize val="0"/>
        </c:dLbls>
        <c:gapWidth val="219"/>
        <c:overlap val="-27"/>
        <c:axId val="1628434127"/>
        <c:axId val="1565814159"/>
      </c:barChart>
      <c:catAx>
        <c:axId val="16284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14159"/>
        <c:crosses val="autoZero"/>
        <c:auto val="1"/>
        <c:lblAlgn val="ctr"/>
        <c:lblOffset val="100"/>
        <c:noMultiLvlLbl val="0"/>
      </c:catAx>
      <c:valAx>
        <c:axId val="1565814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Sheet2!$J$16:$J$23</c:f>
              <c:strCache>
                <c:ptCount val="7"/>
                <c:pt idx="0">
                  <c:v>Action Figure</c:v>
                </c:pt>
                <c:pt idx="1">
                  <c:v>Blender</c:v>
                </c:pt>
                <c:pt idx="2">
                  <c:v>Moisturizer</c:v>
                </c:pt>
                <c:pt idx="3">
                  <c:v>Novel</c:v>
                </c:pt>
                <c:pt idx="4">
                  <c:v>Smartphone</c:v>
                </c:pt>
                <c:pt idx="5">
                  <c:v>Sneakers</c:v>
                </c:pt>
                <c:pt idx="6">
                  <c:v>Tent</c:v>
                </c:pt>
              </c:strCache>
            </c:strRef>
          </c:cat>
          <c:val>
            <c:numRef>
              <c:f>Sheet2!$K$16:$K$23</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1D8C-4D8E-A90E-50A30F3576BE}"/>
            </c:ext>
          </c:extLst>
        </c:ser>
        <c:dLbls>
          <c:dLblPos val="t"/>
          <c:showLegendKey val="0"/>
          <c:showVal val="1"/>
          <c:showCatName val="0"/>
          <c:showSerName val="0"/>
          <c:showPercent val="0"/>
          <c:showBubbleSize val="0"/>
        </c:dLbls>
        <c:smooth val="0"/>
        <c:axId val="1756270367"/>
        <c:axId val="1565858319"/>
      </c:lineChart>
      <c:catAx>
        <c:axId val="17562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58319"/>
        <c:crosses val="autoZero"/>
        <c:auto val="1"/>
        <c:lblAlgn val="ctr"/>
        <c:lblOffset val="100"/>
        <c:noMultiLvlLbl val="0"/>
      </c:catAx>
      <c:valAx>
        <c:axId val="156585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7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c:f>
              <c:strCache>
                <c:ptCount val="1"/>
                <c:pt idx="0">
                  <c:v>Total</c:v>
                </c:pt>
              </c:strCache>
            </c:strRef>
          </c:tx>
          <c:spPr>
            <a:solidFill>
              <a:schemeClr val="accent1"/>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Sheet2!$D$8:$D$15</c:f>
              <c:strCache>
                <c:ptCount val="7"/>
                <c:pt idx="0">
                  <c:v>Action Figure</c:v>
                </c:pt>
                <c:pt idx="1">
                  <c:v>Blender</c:v>
                </c:pt>
                <c:pt idx="2">
                  <c:v>Moisturizer</c:v>
                </c:pt>
                <c:pt idx="3">
                  <c:v>Novel</c:v>
                </c:pt>
                <c:pt idx="4">
                  <c:v>Smartphone</c:v>
                </c:pt>
                <c:pt idx="5">
                  <c:v>Sneakers</c:v>
                </c:pt>
                <c:pt idx="6">
                  <c:v>Tent</c:v>
                </c:pt>
              </c:strCache>
            </c:strRef>
          </c:cat>
          <c:val>
            <c:numRef>
              <c:f>Sheet2!$E$8:$E$15</c:f>
              <c:numCache>
                <c:formatCode>"₹"\ #,##0.00</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072-4E34-9911-9CA4FB101598}"/>
            </c:ext>
          </c:extLst>
        </c:ser>
        <c:dLbls>
          <c:dLblPos val="outEnd"/>
          <c:showLegendKey val="0"/>
          <c:showVal val="1"/>
          <c:showCatName val="0"/>
          <c:showSerName val="0"/>
          <c:showPercent val="0"/>
          <c:showBubbleSize val="0"/>
        </c:dLbls>
        <c:gapWidth val="182"/>
        <c:axId val="1833952879"/>
        <c:axId val="1565817999"/>
      </c:barChart>
      <c:catAx>
        <c:axId val="183395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17999"/>
        <c:crosses val="autoZero"/>
        <c:auto val="1"/>
        <c:lblAlgn val="ctr"/>
        <c:lblOffset val="100"/>
        <c:noMultiLvlLbl val="0"/>
      </c:catAx>
      <c:valAx>
        <c:axId val="1565817999"/>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crossAx val="18339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Sheet2!$H$11</c:f>
              <c:strCache>
                <c:ptCount val="1"/>
                <c:pt idx="0">
                  <c:v>Total</c:v>
                </c:pt>
              </c:strCache>
            </c:strRef>
          </c:tx>
          <c:spPr>
            <a:solidFill>
              <a:schemeClr val="accent1"/>
            </a:solidFill>
            <a:ln>
              <a:noFill/>
            </a:ln>
            <a:effectLst/>
          </c:spPr>
          <c:invertIfNegative val="0"/>
          <c:dLbls>
            <c:spPr>
              <a:solidFill>
                <a:srgbClr val="C0CF3A">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Sheet2!$G$12:$G$22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Sheet2!$H$12:$H$22</c:f>
              <c:numCache>
                <c:formatCode>"₹"\ #,##0.00</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79FC-4280-8322-E973992A8E91}"/>
            </c:ext>
          </c:extLst>
        </c:ser>
        <c:dLbls>
          <c:dLblPos val="inEnd"/>
          <c:showLegendKey val="0"/>
          <c:showVal val="1"/>
          <c:showCatName val="0"/>
          <c:showSerName val="0"/>
          <c:showPercent val="0"/>
          <c:showBubbleSize val="0"/>
        </c:dLbls>
        <c:gapWidth val="219"/>
        <c:overlap val="-27"/>
        <c:axId val="1628434127"/>
        <c:axId val="1565814159"/>
      </c:barChart>
      <c:catAx>
        <c:axId val="16284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14159"/>
        <c:crosses val="autoZero"/>
        <c:auto val="1"/>
        <c:lblAlgn val="ctr"/>
        <c:lblOffset val="100"/>
        <c:noMultiLvlLbl val="0"/>
      </c:catAx>
      <c:valAx>
        <c:axId val="1565814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Sheet2!$J$16:$J$23</c:f>
              <c:strCache>
                <c:ptCount val="7"/>
                <c:pt idx="0">
                  <c:v>Action Figure</c:v>
                </c:pt>
                <c:pt idx="1">
                  <c:v>Blender</c:v>
                </c:pt>
                <c:pt idx="2">
                  <c:v>Moisturizer</c:v>
                </c:pt>
                <c:pt idx="3">
                  <c:v>Novel</c:v>
                </c:pt>
                <c:pt idx="4">
                  <c:v>Smartphone</c:v>
                </c:pt>
                <c:pt idx="5">
                  <c:v>Sneakers</c:v>
                </c:pt>
                <c:pt idx="6">
                  <c:v>Tent</c:v>
                </c:pt>
              </c:strCache>
            </c:strRef>
          </c:cat>
          <c:val>
            <c:numRef>
              <c:f>Sheet2!$K$16:$K$23</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4253-42F1-9216-F93EBA03B2B0}"/>
            </c:ext>
          </c:extLst>
        </c:ser>
        <c:dLbls>
          <c:dLblPos val="t"/>
          <c:showLegendKey val="0"/>
          <c:showVal val="1"/>
          <c:showCatName val="0"/>
          <c:showSerName val="0"/>
          <c:showPercent val="0"/>
          <c:showBubbleSize val="0"/>
        </c:dLbls>
        <c:smooth val="0"/>
        <c:axId val="1756270367"/>
        <c:axId val="1565858319"/>
      </c:lineChart>
      <c:catAx>
        <c:axId val="17562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58319"/>
        <c:crosses val="autoZero"/>
        <c:auto val="1"/>
        <c:lblAlgn val="ctr"/>
        <c:lblOffset val="100"/>
        <c:noMultiLvlLbl val="0"/>
      </c:catAx>
      <c:valAx>
        <c:axId val="156585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7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Lst>
        </c:dLbl>
      </c:pivotFmt>
      <c:pivotFmt>
        <c:idx val="4"/>
        <c:spPr>
          <a:solidFill>
            <a:schemeClr val="accent1"/>
          </a:solidFill>
          <a:ln w="19050">
            <a:solidFill>
              <a:schemeClr val="lt1"/>
            </a:solidFill>
          </a:ln>
          <a:effectLst/>
        </c:spPr>
        <c:dLbl>
          <c:idx val="0"/>
          <c:layout>
            <c:manualLayout>
              <c:x val="-0.14396456256921375"/>
              <c:y val="8.924587237840250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671-4589-9712-75F1A6FCF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671-4589-9712-75F1A6FCF7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71-4589-9712-75F1A6FCF7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671-4589-9712-75F1A6FCF72A}"/>
              </c:ext>
            </c:extLst>
          </c:dPt>
          <c:dLbls>
            <c:dLbl>
              <c:idx val="0"/>
              <c:layout>
                <c:manualLayout>
                  <c:x val="0.10833333333333334"/>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71-4589-9712-75F1A6FCF72A}"/>
                </c:ext>
              </c:extLst>
            </c:dLbl>
            <c:dLbl>
              <c:idx val="1"/>
              <c:layout>
                <c:manualLayout>
                  <c:x val="0.17165016436898875"/>
                  <c:y val="8.03212851405622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6755260243632"/>
                      <c:h val="8.4716820036049717E-2"/>
                    </c:manualLayout>
                  </c15:layout>
                </c:ext>
                <c:ext xmlns:c16="http://schemas.microsoft.com/office/drawing/2014/chart" uri="{C3380CC4-5D6E-409C-BE32-E72D297353CC}">
                  <c16:uniqueId val="{00000004-F671-4589-9712-75F1A6FCF72A}"/>
                </c:ext>
              </c:extLst>
            </c:dLbl>
            <c:dLbl>
              <c:idx val="2"/>
              <c:layout>
                <c:manualLayout>
                  <c:x val="-0.14396456256921375"/>
                  <c:y val="8.92458723784025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71-4589-9712-75F1A6FCF72A}"/>
                </c:ext>
              </c:extLst>
            </c:dLbl>
            <c:dLbl>
              <c:idx val="3"/>
              <c:layout>
                <c:manualLayout>
                  <c:x val="-0.1583333333333333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71-4589-9712-75F1A6FCF7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Sheet2!$A$6:$A$10</c:f>
              <c:strCache>
                <c:ptCount val="4"/>
                <c:pt idx="0">
                  <c:v>East</c:v>
                </c:pt>
                <c:pt idx="1">
                  <c:v>North</c:v>
                </c:pt>
                <c:pt idx="2">
                  <c:v>South</c:v>
                </c:pt>
                <c:pt idx="3">
                  <c:v>West</c:v>
                </c:pt>
              </c:strCache>
            </c:strRef>
          </c:cat>
          <c:val>
            <c:numRef>
              <c:f>Sheet2!$B$6:$B$10</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F671-4589-9712-75F1A6FCF7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121920</xdr:rowOff>
    </xdr:from>
    <xdr:to>
      <xdr:col>4</xdr:col>
      <xdr:colOff>350520</xdr:colOff>
      <xdr:row>9</xdr:row>
      <xdr:rowOff>38100</xdr:rowOff>
    </xdr:to>
    <xdr:grpSp>
      <xdr:nvGrpSpPr>
        <xdr:cNvPr id="10" name="Group 9">
          <a:extLst>
            <a:ext uri="{FF2B5EF4-FFF2-40B4-BE49-F238E27FC236}">
              <a16:creationId xmlns:a16="http://schemas.microsoft.com/office/drawing/2014/main" id="{244EC0C8-A764-D603-4379-8B3E54B9DCF7}"/>
            </a:ext>
          </a:extLst>
        </xdr:cNvPr>
        <xdr:cNvGrpSpPr/>
      </xdr:nvGrpSpPr>
      <xdr:grpSpPr>
        <a:xfrm>
          <a:off x="0" y="853440"/>
          <a:ext cx="2788920" cy="830580"/>
          <a:chOff x="0" y="853440"/>
          <a:chExt cx="2788920" cy="830580"/>
        </a:xfrm>
      </xdr:grpSpPr>
      <xdr:grpSp>
        <xdr:nvGrpSpPr>
          <xdr:cNvPr id="8" name="Group 7">
            <a:extLst>
              <a:ext uri="{FF2B5EF4-FFF2-40B4-BE49-F238E27FC236}">
                <a16:creationId xmlns:a16="http://schemas.microsoft.com/office/drawing/2014/main" id="{1F5A4B11-69F6-6AF9-0390-9D3C924D2975}"/>
              </a:ext>
            </a:extLst>
          </xdr:cNvPr>
          <xdr:cNvGrpSpPr/>
        </xdr:nvGrpSpPr>
        <xdr:grpSpPr>
          <a:xfrm>
            <a:off x="0" y="853440"/>
            <a:ext cx="2788920" cy="799200"/>
            <a:chOff x="0" y="861060"/>
            <a:chExt cx="2788920" cy="799200"/>
          </a:xfrm>
        </xdr:grpSpPr>
        <xdr:sp macro="" textlink="">
          <xdr:nvSpPr>
            <xdr:cNvPr id="3" name="Rectangle: Rounded Corners 2">
              <a:extLst>
                <a:ext uri="{FF2B5EF4-FFF2-40B4-BE49-F238E27FC236}">
                  <a16:creationId xmlns:a16="http://schemas.microsoft.com/office/drawing/2014/main" id="{484FE467-A28B-4177-816B-9D0251E3973A}"/>
                </a:ext>
              </a:extLst>
            </xdr:cNvPr>
            <xdr:cNvSpPr/>
          </xdr:nvSpPr>
          <xdr:spPr>
            <a:xfrm>
              <a:off x="0" y="861060"/>
              <a:ext cx="2788920" cy="799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CAC05828-4EAE-2BA1-45E0-A6AA3125C081}"/>
                </a:ext>
              </a:extLst>
            </xdr:cNvPr>
            <xdr:cNvSpPr txBox="1"/>
          </xdr:nvSpPr>
          <xdr:spPr>
            <a:xfrm>
              <a:off x="1135380" y="960120"/>
              <a:ext cx="13792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rPr>
                <a:t>TOTAL SALES</a:t>
              </a:r>
            </a:p>
          </xdr:txBody>
        </xdr:sp>
        <xdr:sp macro="" textlink="SalesData!J2">
          <xdr:nvSpPr>
            <xdr:cNvPr id="7" name="TextBox 6">
              <a:extLst>
                <a:ext uri="{FF2B5EF4-FFF2-40B4-BE49-F238E27FC236}">
                  <a16:creationId xmlns:a16="http://schemas.microsoft.com/office/drawing/2014/main" id="{4064FDB2-7768-3A60-4FD7-DA56820E47C3}"/>
                </a:ext>
              </a:extLst>
            </xdr:cNvPr>
            <xdr:cNvSpPr txBox="1"/>
          </xdr:nvSpPr>
          <xdr:spPr>
            <a:xfrm>
              <a:off x="1196340" y="1287780"/>
              <a:ext cx="12344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ED6D3B-7876-42A7-A7BF-B55C92F048D3}" type="TxLink">
                <a:rPr lang="en-US" sz="1800" b="0" i="0" u="none" strike="noStrike">
                  <a:solidFill>
                    <a:schemeClr val="accent6">
                      <a:lumMod val="75000"/>
                    </a:schemeClr>
                  </a:solidFill>
                  <a:latin typeface="Aptos Narrow"/>
                </a:rPr>
                <a:pPr/>
                <a:t>438000.00</a:t>
              </a:fld>
              <a:endParaRPr lang="en-IN" sz="1800">
                <a:solidFill>
                  <a:schemeClr val="accent6">
                    <a:lumMod val="75000"/>
                  </a:schemeClr>
                </a:solidFill>
              </a:endParaRPr>
            </a:p>
          </xdr:txBody>
        </xdr:sp>
      </xdr:grpSp>
      <xdr:sp macro="" textlink="">
        <xdr:nvSpPr>
          <xdr:cNvPr id="9" name="Rectangle: Rounded Corners 8">
            <a:extLst>
              <a:ext uri="{FF2B5EF4-FFF2-40B4-BE49-F238E27FC236}">
                <a16:creationId xmlns:a16="http://schemas.microsoft.com/office/drawing/2014/main" id="{E6C9E043-D496-4155-BA76-BB83D861584B}"/>
              </a:ext>
            </a:extLst>
          </xdr:cNvPr>
          <xdr:cNvSpPr/>
        </xdr:nvSpPr>
        <xdr:spPr>
          <a:xfrm rot="5400000">
            <a:off x="-72390" y="941070"/>
            <a:ext cx="830580" cy="6553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350520</xdr:colOff>
      <xdr:row>4</xdr:row>
      <xdr:rowOff>129540</xdr:rowOff>
    </xdr:from>
    <xdr:to>
      <xdr:col>9</xdr:col>
      <xdr:colOff>92520</xdr:colOff>
      <xdr:row>9</xdr:row>
      <xdr:rowOff>15240</xdr:rowOff>
    </xdr:to>
    <xdr:grpSp>
      <xdr:nvGrpSpPr>
        <xdr:cNvPr id="23" name="Group 22">
          <a:extLst>
            <a:ext uri="{FF2B5EF4-FFF2-40B4-BE49-F238E27FC236}">
              <a16:creationId xmlns:a16="http://schemas.microsoft.com/office/drawing/2014/main" id="{CFF459F6-72CD-4E0D-AC2E-0AA858E5F6A4}"/>
            </a:ext>
          </a:extLst>
        </xdr:cNvPr>
        <xdr:cNvGrpSpPr/>
      </xdr:nvGrpSpPr>
      <xdr:grpSpPr>
        <a:xfrm>
          <a:off x="2788920" y="861060"/>
          <a:ext cx="2790000" cy="800100"/>
          <a:chOff x="0" y="853440"/>
          <a:chExt cx="2788920" cy="835200"/>
        </a:xfrm>
      </xdr:grpSpPr>
      <xdr:grpSp>
        <xdr:nvGrpSpPr>
          <xdr:cNvPr id="24" name="Group 23">
            <a:extLst>
              <a:ext uri="{FF2B5EF4-FFF2-40B4-BE49-F238E27FC236}">
                <a16:creationId xmlns:a16="http://schemas.microsoft.com/office/drawing/2014/main" id="{5F649685-ACAB-7E96-2683-1AC00C363976}"/>
              </a:ext>
            </a:extLst>
          </xdr:cNvPr>
          <xdr:cNvGrpSpPr/>
        </xdr:nvGrpSpPr>
        <xdr:grpSpPr>
          <a:xfrm>
            <a:off x="0" y="853440"/>
            <a:ext cx="2788920" cy="835200"/>
            <a:chOff x="0" y="861060"/>
            <a:chExt cx="2788920" cy="835200"/>
          </a:xfrm>
        </xdr:grpSpPr>
        <xdr:sp macro="" textlink="">
          <xdr:nvSpPr>
            <xdr:cNvPr id="26" name="Rectangle: Rounded Corners 25">
              <a:extLst>
                <a:ext uri="{FF2B5EF4-FFF2-40B4-BE49-F238E27FC236}">
                  <a16:creationId xmlns:a16="http://schemas.microsoft.com/office/drawing/2014/main" id="{EE024D4F-B23A-A5D7-C9A2-7E483637306D}"/>
                </a:ext>
              </a:extLst>
            </xdr:cNvPr>
            <xdr:cNvSpPr/>
          </xdr:nvSpPr>
          <xdr:spPr>
            <a:xfrm>
              <a:off x="0" y="861060"/>
              <a:ext cx="278892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24C3F186-9BA8-CF59-3D4C-A19D0DBC2D30}"/>
                </a:ext>
              </a:extLst>
            </xdr:cNvPr>
            <xdr:cNvSpPr txBox="1"/>
          </xdr:nvSpPr>
          <xdr:spPr>
            <a:xfrm>
              <a:off x="1135380" y="960120"/>
              <a:ext cx="13792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rPr>
                <a:t>AVERAGE SALES</a:t>
              </a:r>
            </a:p>
          </xdr:txBody>
        </xdr:sp>
        <xdr:sp macro="" textlink="SalesData!J8">
          <xdr:nvSpPr>
            <xdr:cNvPr id="28" name="TextBox 27">
              <a:extLst>
                <a:ext uri="{FF2B5EF4-FFF2-40B4-BE49-F238E27FC236}">
                  <a16:creationId xmlns:a16="http://schemas.microsoft.com/office/drawing/2014/main" id="{32D808F4-7B2B-DEB3-0E31-04F6279CAC31}"/>
                </a:ext>
              </a:extLst>
            </xdr:cNvPr>
            <xdr:cNvSpPr txBox="1"/>
          </xdr:nvSpPr>
          <xdr:spPr>
            <a:xfrm>
              <a:off x="1196340" y="1250820"/>
              <a:ext cx="1234440" cy="296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20D3BF-4FEE-4F80-B469-68A6B96DCEE3}" type="TxLink">
                <a:rPr lang="en-US" sz="1800" b="0" i="0" u="none" strike="noStrike">
                  <a:solidFill>
                    <a:schemeClr val="accent6">
                      <a:lumMod val="75000"/>
                    </a:schemeClr>
                  </a:solidFill>
                  <a:latin typeface="Aptos Narrow"/>
                </a:rPr>
                <a:pPr/>
                <a:t>438000.00</a:t>
              </a:fld>
              <a:endParaRPr lang="en-IN" sz="1800">
                <a:solidFill>
                  <a:schemeClr val="accent6">
                    <a:lumMod val="75000"/>
                  </a:schemeClr>
                </a:solidFill>
              </a:endParaRPr>
            </a:p>
          </xdr:txBody>
        </xdr:sp>
      </xdr:grpSp>
      <xdr:sp macro="" textlink="">
        <xdr:nvSpPr>
          <xdr:cNvPr id="25" name="Rectangle: Rounded Corners 24">
            <a:extLst>
              <a:ext uri="{FF2B5EF4-FFF2-40B4-BE49-F238E27FC236}">
                <a16:creationId xmlns:a16="http://schemas.microsoft.com/office/drawing/2014/main" id="{85C135A0-D0A4-388D-0F0D-FA37FB24CBB6}"/>
              </a:ext>
            </a:extLst>
          </xdr:cNvPr>
          <xdr:cNvSpPr/>
        </xdr:nvSpPr>
        <xdr:spPr>
          <a:xfrm rot="5400000">
            <a:off x="-87624" y="941070"/>
            <a:ext cx="830580" cy="6553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91440</xdr:colOff>
      <xdr:row>4</xdr:row>
      <xdr:rowOff>106680</xdr:rowOff>
    </xdr:from>
    <xdr:to>
      <xdr:col>13</xdr:col>
      <xdr:colOff>441960</xdr:colOff>
      <xdr:row>9</xdr:row>
      <xdr:rowOff>27480</xdr:rowOff>
    </xdr:to>
    <xdr:grpSp>
      <xdr:nvGrpSpPr>
        <xdr:cNvPr id="29" name="Group 28">
          <a:extLst>
            <a:ext uri="{FF2B5EF4-FFF2-40B4-BE49-F238E27FC236}">
              <a16:creationId xmlns:a16="http://schemas.microsoft.com/office/drawing/2014/main" id="{3461FB96-0E88-40C4-A199-CD4EB196C26B}"/>
            </a:ext>
          </a:extLst>
        </xdr:cNvPr>
        <xdr:cNvGrpSpPr/>
      </xdr:nvGrpSpPr>
      <xdr:grpSpPr>
        <a:xfrm>
          <a:off x="5577840" y="838200"/>
          <a:ext cx="2788920" cy="835200"/>
          <a:chOff x="0" y="853440"/>
          <a:chExt cx="2788920" cy="835200"/>
        </a:xfrm>
      </xdr:grpSpPr>
      <xdr:grpSp>
        <xdr:nvGrpSpPr>
          <xdr:cNvPr id="30" name="Group 29">
            <a:extLst>
              <a:ext uri="{FF2B5EF4-FFF2-40B4-BE49-F238E27FC236}">
                <a16:creationId xmlns:a16="http://schemas.microsoft.com/office/drawing/2014/main" id="{5B961D03-12A8-2CB0-DAAA-8F1B1EF3736D}"/>
              </a:ext>
            </a:extLst>
          </xdr:cNvPr>
          <xdr:cNvGrpSpPr/>
        </xdr:nvGrpSpPr>
        <xdr:grpSpPr>
          <a:xfrm>
            <a:off x="0" y="853440"/>
            <a:ext cx="2788920" cy="835200"/>
            <a:chOff x="0" y="861060"/>
            <a:chExt cx="2788920" cy="835200"/>
          </a:xfrm>
        </xdr:grpSpPr>
        <xdr:sp macro="" textlink="">
          <xdr:nvSpPr>
            <xdr:cNvPr id="32" name="Rectangle: Rounded Corners 31">
              <a:extLst>
                <a:ext uri="{FF2B5EF4-FFF2-40B4-BE49-F238E27FC236}">
                  <a16:creationId xmlns:a16="http://schemas.microsoft.com/office/drawing/2014/main" id="{74FB5CD6-E4B5-46F9-1306-05462CDBA4BB}"/>
                </a:ext>
              </a:extLst>
            </xdr:cNvPr>
            <xdr:cNvSpPr/>
          </xdr:nvSpPr>
          <xdr:spPr>
            <a:xfrm>
              <a:off x="0" y="861060"/>
              <a:ext cx="278892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DFC7FCC9-4A54-5949-D3DB-7B0A30348195}"/>
                </a:ext>
              </a:extLst>
            </xdr:cNvPr>
            <xdr:cNvSpPr txBox="1"/>
          </xdr:nvSpPr>
          <xdr:spPr>
            <a:xfrm>
              <a:off x="1135380" y="960120"/>
              <a:ext cx="13792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rPr>
                <a:t>UNIT</a:t>
              </a:r>
              <a:r>
                <a:rPr lang="en-IN" sz="1100" baseline="0">
                  <a:solidFill>
                    <a:schemeClr val="accent6">
                      <a:lumMod val="75000"/>
                    </a:schemeClr>
                  </a:solidFill>
                </a:rPr>
                <a:t> SOLD</a:t>
              </a:r>
              <a:endParaRPr lang="en-IN" sz="1100">
                <a:solidFill>
                  <a:schemeClr val="accent6">
                    <a:lumMod val="75000"/>
                  </a:schemeClr>
                </a:solidFill>
              </a:endParaRPr>
            </a:p>
          </xdr:txBody>
        </xdr:sp>
        <xdr:sp macro="" textlink="SalesData!J4">
          <xdr:nvSpPr>
            <xdr:cNvPr id="34" name="TextBox 33">
              <a:extLst>
                <a:ext uri="{FF2B5EF4-FFF2-40B4-BE49-F238E27FC236}">
                  <a16:creationId xmlns:a16="http://schemas.microsoft.com/office/drawing/2014/main" id="{4BCCF258-0477-3EE3-8764-149098E0DE79}"/>
                </a:ext>
              </a:extLst>
            </xdr:cNvPr>
            <xdr:cNvSpPr txBox="1"/>
          </xdr:nvSpPr>
          <xdr:spPr>
            <a:xfrm>
              <a:off x="1196340" y="1287780"/>
              <a:ext cx="12344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7C21B6-A66D-48C8-847D-F6BB79C4384F}" type="TxLink">
                <a:rPr lang="en-US" sz="1800" b="0" i="0" u="none" strike="noStrike">
                  <a:solidFill>
                    <a:schemeClr val="accent6">
                      <a:lumMod val="75000"/>
                    </a:schemeClr>
                  </a:solidFill>
                  <a:latin typeface="Aptos Narrow"/>
                </a:rPr>
                <a:pPr/>
                <a:t>73</a:t>
              </a:fld>
              <a:endParaRPr lang="en-IN" sz="1800">
                <a:solidFill>
                  <a:schemeClr val="accent6">
                    <a:lumMod val="75000"/>
                  </a:schemeClr>
                </a:solidFill>
              </a:endParaRPr>
            </a:p>
          </xdr:txBody>
        </xdr:sp>
      </xdr:grpSp>
      <xdr:sp macro="" textlink="">
        <xdr:nvSpPr>
          <xdr:cNvPr id="31" name="Rectangle: Rounded Corners 30">
            <a:extLst>
              <a:ext uri="{FF2B5EF4-FFF2-40B4-BE49-F238E27FC236}">
                <a16:creationId xmlns:a16="http://schemas.microsoft.com/office/drawing/2014/main" id="{0B64A792-3122-5894-359B-A8CD59317C73}"/>
              </a:ext>
            </a:extLst>
          </xdr:cNvPr>
          <xdr:cNvSpPr/>
        </xdr:nvSpPr>
        <xdr:spPr>
          <a:xfrm rot="5400000">
            <a:off x="-72390" y="941070"/>
            <a:ext cx="830580" cy="6553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441960</xdr:colOff>
      <xdr:row>4</xdr:row>
      <xdr:rowOff>121920</xdr:rowOff>
    </xdr:from>
    <xdr:to>
      <xdr:col>18</xdr:col>
      <xdr:colOff>297180</xdr:colOff>
      <xdr:row>9</xdr:row>
      <xdr:rowOff>73200</xdr:rowOff>
    </xdr:to>
    <xdr:grpSp>
      <xdr:nvGrpSpPr>
        <xdr:cNvPr id="35" name="Group 34">
          <a:extLst>
            <a:ext uri="{FF2B5EF4-FFF2-40B4-BE49-F238E27FC236}">
              <a16:creationId xmlns:a16="http://schemas.microsoft.com/office/drawing/2014/main" id="{750305BC-152C-45FB-8A42-D7BC4921906F}"/>
            </a:ext>
          </a:extLst>
        </xdr:cNvPr>
        <xdr:cNvGrpSpPr/>
      </xdr:nvGrpSpPr>
      <xdr:grpSpPr>
        <a:xfrm>
          <a:off x="8366760" y="853440"/>
          <a:ext cx="2903220" cy="865680"/>
          <a:chOff x="15240" y="853440"/>
          <a:chExt cx="2903220" cy="865680"/>
        </a:xfrm>
      </xdr:grpSpPr>
      <xdr:grpSp>
        <xdr:nvGrpSpPr>
          <xdr:cNvPr id="36" name="Group 35">
            <a:extLst>
              <a:ext uri="{FF2B5EF4-FFF2-40B4-BE49-F238E27FC236}">
                <a16:creationId xmlns:a16="http://schemas.microsoft.com/office/drawing/2014/main" id="{56C975D2-B59A-3757-BF3B-2DFF57166316}"/>
              </a:ext>
            </a:extLst>
          </xdr:cNvPr>
          <xdr:cNvGrpSpPr/>
        </xdr:nvGrpSpPr>
        <xdr:grpSpPr>
          <a:xfrm>
            <a:off x="129540" y="883920"/>
            <a:ext cx="2788920" cy="835200"/>
            <a:chOff x="129540" y="891540"/>
            <a:chExt cx="2788920" cy="835200"/>
          </a:xfrm>
        </xdr:grpSpPr>
        <xdr:sp macro="" textlink="">
          <xdr:nvSpPr>
            <xdr:cNvPr id="38" name="Rectangle: Rounded Corners 37">
              <a:extLst>
                <a:ext uri="{FF2B5EF4-FFF2-40B4-BE49-F238E27FC236}">
                  <a16:creationId xmlns:a16="http://schemas.microsoft.com/office/drawing/2014/main" id="{203C3C21-C6F6-9B7F-8334-10E1B282399E}"/>
                </a:ext>
              </a:extLst>
            </xdr:cNvPr>
            <xdr:cNvSpPr/>
          </xdr:nvSpPr>
          <xdr:spPr>
            <a:xfrm>
              <a:off x="129540" y="891540"/>
              <a:ext cx="278892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AFD2D807-AFFF-92DA-91B4-E5E82EA13821}"/>
                </a:ext>
              </a:extLst>
            </xdr:cNvPr>
            <xdr:cNvSpPr txBox="1"/>
          </xdr:nvSpPr>
          <xdr:spPr>
            <a:xfrm>
              <a:off x="1135380" y="960120"/>
              <a:ext cx="13792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rPr>
                <a:t>PROFIT</a:t>
              </a:r>
            </a:p>
            <a:p>
              <a:endParaRPr lang="en-IN" sz="1100">
                <a:solidFill>
                  <a:schemeClr val="accent6">
                    <a:lumMod val="75000"/>
                  </a:schemeClr>
                </a:solidFill>
              </a:endParaRPr>
            </a:p>
          </xdr:txBody>
        </xdr:sp>
        <xdr:sp macro="" textlink="SalesData!J6">
          <xdr:nvSpPr>
            <xdr:cNvPr id="40" name="TextBox 39">
              <a:extLst>
                <a:ext uri="{FF2B5EF4-FFF2-40B4-BE49-F238E27FC236}">
                  <a16:creationId xmlns:a16="http://schemas.microsoft.com/office/drawing/2014/main" id="{D227457E-94B4-1BBE-8E68-B00CFEB22047}"/>
                </a:ext>
              </a:extLst>
            </xdr:cNvPr>
            <xdr:cNvSpPr txBox="1"/>
          </xdr:nvSpPr>
          <xdr:spPr>
            <a:xfrm>
              <a:off x="1196340" y="1287780"/>
              <a:ext cx="12344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D0A528-CB08-431C-AFCC-A66F9F5921B1}" type="TxLink">
                <a:rPr lang="en-US" sz="1800" b="0" i="0" u="none" strike="noStrike">
                  <a:solidFill>
                    <a:schemeClr val="accent6">
                      <a:lumMod val="75000"/>
                    </a:schemeClr>
                  </a:solidFill>
                  <a:latin typeface="Aptos Narrow"/>
                </a:rPr>
                <a:pPr/>
                <a:t>146000.00</a:t>
              </a:fld>
              <a:endParaRPr lang="en-IN" sz="1800">
                <a:solidFill>
                  <a:schemeClr val="accent6">
                    <a:lumMod val="75000"/>
                  </a:schemeClr>
                </a:solidFill>
              </a:endParaRPr>
            </a:p>
          </xdr:txBody>
        </xdr:sp>
      </xdr:grpSp>
      <xdr:sp macro="" textlink="">
        <xdr:nvSpPr>
          <xdr:cNvPr id="37" name="Rectangle: Rounded Corners 36">
            <a:extLst>
              <a:ext uri="{FF2B5EF4-FFF2-40B4-BE49-F238E27FC236}">
                <a16:creationId xmlns:a16="http://schemas.microsoft.com/office/drawing/2014/main" id="{11605371-A566-238F-AF19-B788F88DEA24}"/>
              </a:ext>
            </a:extLst>
          </xdr:cNvPr>
          <xdr:cNvSpPr/>
        </xdr:nvSpPr>
        <xdr:spPr>
          <a:xfrm rot="5400000">
            <a:off x="-72390" y="941070"/>
            <a:ext cx="830580" cy="6553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13</xdr:col>
      <xdr:colOff>426720</xdr:colOff>
      <xdr:row>5</xdr:row>
      <xdr:rowOff>7620</xdr:rowOff>
    </xdr:from>
    <xdr:to>
      <xdr:col>14</xdr:col>
      <xdr:colOff>485812</xdr:colOff>
      <xdr:row>9</xdr:row>
      <xdr:rowOff>2512</xdr:rowOff>
    </xdr:to>
    <xdr:pic>
      <xdr:nvPicPr>
        <xdr:cNvPr id="48" name="Graphic 47" descr="Bar graph with upward trend with solid fill">
          <a:extLst>
            <a:ext uri="{FF2B5EF4-FFF2-40B4-BE49-F238E27FC236}">
              <a16:creationId xmlns:a16="http://schemas.microsoft.com/office/drawing/2014/main" id="{F17DDE02-743B-A44F-65EE-69E6334071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51520" y="922020"/>
          <a:ext cx="668692" cy="726412"/>
        </a:xfrm>
        <a:prstGeom prst="rect">
          <a:avLst/>
        </a:prstGeom>
      </xdr:spPr>
    </xdr:pic>
    <xdr:clientData/>
  </xdr:twoCellAnchor>
  <xdr:twoCellAnchor editAs="oneCell">
    <xdr:from>
      <xdr:col>9</xdr:col>
      <xdr:colOff>45549</xdr:colOff>
      <xdr:row>5</xdr:row>
      <xdr:rowOff>38100</xdr:rowOff>
    </xdr:from>
    <xdr:to>
      <xdr:col>10</xdr:col>
      <xdr:colOff>177641</xdr:colOff>
      <xdr:row>9</xdr:row>
      <xdr:rowOff>48272</xdr:rowOff>
    </xdr:to>
    <xdr:pic>
      <xdr:nvPicPr>
        <xdr:cNvPr id="50" name="Graphic 49" descr="Books on shelf with solid fill">
          <a:extLst>
            <a:ext uri="{FF2B5EF4-FFF2-40B4-BE49-F238E27FC236}">
              <a16:creationId xmlns:a16="http://schemas.microsoft.com/office/drawing/2014/main" id="{253CCFA0-FA8B-1630-2D80-C88921ABC7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31949" y="952500"/>
          <a:ext cx="741692" cy="741692"/>
        </a:xfrm>
        <a:prstGeom prst="rect">
          <a:avLst/>
        </a:prstGeom>
      </xdr:spPr>
    </xdr:pic>
    <xdr:clientData/>
  </xdr:twoCellAnchor>
  <xdr:twoCellAnchor editAs="oneCell">
    <xdr:from>
      <xdr:col>4</xdr:col>
      <xdr:colOff>340329</xdr:colOff>
      <xdr:row>5</xdr:row>
      <xdr:rowOff>77268</xdr:rowOff>
    </xdr:from>
    <xdr:to>
      <xdr:col>5</xdr:col>
      <xdr:colOff>389414</xdr:colOff>
      <xdr:row>8</xdr:row>
      <xdr:rowOff>45720</xdr:rowOff>
    </xdr:to>
    <xdr:pic>
      <xdr:nvPicPr>
        <xdr:cNvPr id="52" name="Graphic 51" descr="Coins with solid fill">
          <a:extLst>
            <a:ext uri="{FF2B5EF4-FFF2-40B4-BE49-F238E27FC236}">
              <a16:creationId xmlns:a16="http://schemas.microsoft.com/office/drawing/2014/main" id="{87F1AF9E-3FF6-A552-C85E-5E09549342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78729" y="991668"/>
          <a:ext cx="658685" cy="517092"/>
        </a:xfrm>
        <a:prstGeom prst="rect">
          <a:avLst/>
        </a:prstGeom>
      </xdr:spPr>
    </xdr:pic>
    <xdr:clientData/>
  </xdr:twoCellAnchor>
  <xdr:twoCellAnchor editAs="oneCell">
    <xdr:from>
      <xdr:col>0</xdr:col>
      <xdr:colOff>0</xdr:colOff>
      <xdr:row>4</xdr:row>
      <xdr:rowOff>137160</xdr:rowOff>
    </xdr:from>
    <xdr:to>
      <xdr:col>1</xdr:col>
      <xdr:colOff>83821</xdr:colOff>
      <xdr:row>9</xdr:row>
      <xdr:rowOff>20612</xdr:rowOff>
    </xdr:to>
    <xdr:pic>
      <xdr:nvPicPr>
        <xdr:cNvPr id="54" name="Graphic 53" descr="Dollar with solid fill">
          <a:extLst>
            <a:ext uri="{FF2B5EF4-FFF2-40B4-BE49-F238E27FC236}">
              <a16:creationId xmlns:a16="http://schemas.microsoft.com/office/drawing/2014/main" id="{F5ACAA4C-8ABF-A7A5-AC34-B7A8DAD00C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868680"/>
          <a:ext cx="693421" cy="797852"/>
        </a:xfrm>
        <a:prstGeom prst="rect">
          <a:avLst/>
        </a:prstGeom>
      </xdr:spPr>
    </xdr:pic>
    <xdr:clientData/>
  </xdr:twoCellAnchor>
  <xdr:twoCellAnchor editAs="oneCell">
    <xdr:from>
      <xdr:col>18</xdr:col>
      <xdr:colOff>327660</xdr:colOff>
      <xdr:row>4</xdr:row>
      <xdr:rowOff>114300</xdr:rowOff>
    </xdr:from>
    <xdr:to>
      <xdr:col>21</xdr:col>
      <xdr:colOff>525780</xdr:colOff>
      <xdr:row>9</xdr:row>
      <xdr:rowOff>22860</xdr:rowOff>
    </xdr:to>
    <mc:AlternateContent xmlns:mc="http://schemas.openxmlformats.org/markup-compatibility/2006" xmlns:a14="http://schemas.microsoft.com/office/drawing/2010/main">
      <mc:Choice Requires="a14">
        <xdr:graphicFrame macro="">
          <xdr:nvGraphicFramePr>
            <xdr:cNvPr id="57" name="Region 1">
              <a:extLst>
                <a:ext uri="{FF2B5EF4-FFF2-40B4-BE49-F238E27FC236}">
                  <a16:creationId xmlns:a16="http://schemas.microsoft.com/office/drawing/2014/main" id="{2C7043D6-E21E-4CDB-A7DD-DD63CB2A99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00460" y="845820"/>
              <a:ext cx="202692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9</xdr:row>
      <xdr:rowOff>45721</xdr:rowOff>
    </xdr:from>
    <xdr:to>
      <xdr:col>2</xdr:col>
      <xdr:colOff>259080</xdr:colOff>
      <xdr:row>22</xdr:row>
      <xdr:rowOff>0</xdr:rowOff>
    </xdr:to>
    <mc:AlternateContent xmlns:mc="http://schemas.openxmlformats.org/markup-compatibility/2006" xmlns:a14="http://schemas.microsoft.com/office/drawing/2010/main">
      <mc:Choice Requires="a14">
        <xdr:graphicFrame macro="">
          <xdr:nvGraphicFramePr>
            <xdr:cNvPr id="58" name="Sales Person 1">
              <a:extLst>
                <a:ext uri="{FF2B5EF4-FFF2-40B4-BE49-F238E27FC236}">
                  <a16:creationId xmlns:a16="http://schemas.microsoft.com/office/drawing/2014/main" id="{13735BCF-6790-4F77-8B96-F3D408FCFE3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7620" y="1691641"/>
              <a:ext cx="1470660" cy="233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297180</xdr:colOff>
      <xdr:row>36</xdr:row>
      <xdr:rowOff>5715</xdr:rowOff>
    </xdr:to>
    <mc:AlternateContent xmlns:mc="http://schemas.openxmlformats.org/markup-compatibility/2006" xmlns:a14="http://schemas.microsoft.com/office/drawing/2010/main">
      <mc:Choice Requires="a14">
        <xdr:graphicFrame macro="">
          <xdr:nvGraphicFramePr>
            <xdr:cNvPr id="59" name="Product 1">
              <a:extLst>
                <a:ext uri="{FF2B5EF4-FFF2-40B4-BE49-F238E27FC236}">
                  <a16:creationId xmlns:a16="http://schemas.microsoft.com/office/drawing/2014/main" id="{CA93974C-D330-4C0A-A212-8D2ABEA5EC7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023360"/>
              <a:ext cx="151638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30480</xdr:rowOff>
    </xdr:from>
    <xdr:to>
      <xdr:col>21</xdr:col>
      <xdr:colOff>388620</xdr:colOff>
      <xdr:row>4</xdr:row>
      <xdr:rowOff>99060</xdr:rowOff>
    </xdr:to>
    <xdr:sp macro="" textlink="">
      <xdr:nvSpPr>
        <xdr:cNvPr id="65" name="Rectangle: Rounded Corners 64">
          <a:extLst>
            <a:ext uri="{FF2B5EF4-FFF2-40B4-BE49-F238E27FC236}">
              <a16:creationId xmlns:a16="http://schemas.microsoft.com/office/drawing/2014/main" id="{15C8EF80-BC60-CA9A-DD74-BA85DE6F6443}"/>
            </a:ext>
          </a:extLst>
        </xdr:cNvPr>
        <xdr:cNvSpPr/>
      </xdr:nvSpPr>
      <xdr:spPr>
        <a:xfrm>
          <a:off x="0" y="30480"/>
          <a:ext cx="13190220" cy="800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259080</xdr:colOff>
      <xdr:row>9</xdr:row>
      <xdr:rowOff>53340</xdr:rowOff>
    </xdr:from>
    <xdr:to>
      <xdr:col>22</xdr:col>
      <xdr:colOff>114300</xdr:colOff>
      <xdr:row>23</xdr:row>
      <xdr:rowOff>38100</xdr:rowOff>
    </xdr:to>
    <xdr:sp macro="" textlink="">
      <xdr:nvSpPr>
        <xdr:cNvPr id="67" name="Rectangle: Rounded Corners 66">
          <a:extLst>
            <a:ext uri="{FF2B5EF4-FFF2-40B4-BE49-F238E27FC236}">
              <a16:creationId xmlns:a16="http://schemas.microsoft.com/office/drawing/2014/main" id="{4E03291C-483F-0EA2-3837-A30BEBD20706}"/>
            </a:ext>
          </a:extLst>
        </xdr:cNvPr>
        <xdr:cNvSpPr/>
      </xdr:nvSpPr>
      <xdr:spPr>
        <a:xfrm>
          <a:off x="7574280" y="1699260"/>
          <a:ext cx="5951220" cy="2545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480060</xdr:colOff>
      <xdr:row>9</xdr:row>
      <xdr:rowOff>167640</xdr:rowOff>
    </xdr:from>
    <xdr:to>
      <xdr:col>21</xdr:col>
      <xdr:colOff>541020</xdr:colOff>
      <xdr:row>22</xdr:row>
      <xdr:rowOff>99060</xdr:rowOff>
    </xdr:to>
    <xdr:graphicFrame macro="">
      <xdr:nvGraphicFramePr>
        <xdr:cNvPr id="69" name="Chart 68">
          <a:extLst>
            <a:ext uri="{FF2B5EF4-FFF2-40B4-BE49-F238E27FC236}">
              <a16:creationId xmlns:a16="http://schemas.microsoft.com/office/drawing/2014/main" id="{D4B93A96-B844-4B55-8ADF-D0C64CB40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266700</xdr:colOff>
      <xdr:row>23</xdr:row>
      <xdr:rowOff>68580</xdr:rowOff>
    </xdr:from>
    <xdr:to>
      <xdr:col>12</xdr:col>
      <xdr:colOff>266700</xdr:colOff>
      <xdr:row>36</xdr:row>
      <xdr:rowOff>106680</xdr:rowOff>
    </xdr:to>
    <xdr:sp macro="" textlink="">
      <xdr:nvSpPr>
        <xdr:cNvPr id="70" name="Rectangle: Rounded Corners 69">
          <a:extLst>
            <a:ext uri="{FF2B5EF4-FFF2-40B4-BE49-F238E27FC236}">
              <a16:creationId xmlns:a16="http://schemas.microsoft.com/office/drawing/2014/main" id="{73816C6F-EA62-5E22-C646-BC1E3E8AB1D6}"/>
            </a:ext>
          </a:extLst>
        </xdr:cNvPr>
        <xdr:cNvSpPr/>
      </xdr:nvSpPr>
      <xdr:spPr>
        <a:xfrm>
          <a:off x="1485900" y="4274820"/>
          <a:ext cx="6096000" cy="24155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327660</xdr:colOff>
      <xdr:row>23</xdr:row>
      <xdr:rowOff>60960</xdr:rowOff>
    </xdr:from>
    <xdr:to>
      <xdr:col>22</xdr:col>
      <xdr:colOff>228600</xdr:colOff>
      <xdr:row>36</xdr:row>
      <xdr:rowOff>22860</xdr:rowOff>
    </xdr:to>
    <xdr:sp macro="" textlink="">
      <xdr:nvSpPr>
        <xdr:cNvPr id="71" name="Rectangle: Rounded Corners 70">
          <a:extLst>
            <a:ext uri="{FF2B5EF4-FFF2-40B4-BE49-F238E27FC236}">
              <a16:creationId xmlns:a16="http://schemas.microsoft.com/office/drawing/2014/main" id="{3CC8B7CB-B7D6-D34F-46D4-287635FBBD1C}"/>
            </a:ext>
          </a:extLst>
        </xdr:cNvPr>
        <xdr:cNvSpPr/>
      </xdr:nvSpPr>
      <xdr:spPr>
        <a:xfrm>
          <a:off x="7642860" y="4267200"/>
          <a:ext cx="5996940" cy="23393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121920</xdr:colOff>
      <xdr:row>24</xdr:row>
      <xdr:rowOff>68580</xdr:rowOff>
    </xdr:from>
    <xdr:to>
      <xdr:col>11</xdr:col>
      <xdr:colOff>487680</xdr:colOff>
      <xdr:row>35</xdr:row>
      <xdr:rowOff>38100</xdr:rowOff>
    </xdr:to>
    <xdr:graphicFrame macro="">
      <xdr:nvGraphicFramePr>
        <xdr:cNvPr id="72" name="Chart 71">
          <a:extLst>
            <a:ext uri="{FF2B5EF4-FFF2-40B4-BE49-F238E27FC236}">
              <a16:creationId xmlns:a16="http://schemas.microsoft.com/office/drawing/2014/main" id="{1B916021-8B73-4DA3-B9E0-E0B148CC5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30480</xdr:colOff>
      <xdr:row>24</xdr:row>
      <xdr:rowOff>0</xdr:rowOff>
    </xdr:from>
    <xdr:to>
      <xdr:col>21</xdr:col>
      <xdr:colOff>441960</xdr:colOff>
      <xdr:row>35</xdr:row>
      <xdr:rowOff>91440</xdr:rowOff>
    </xdr:to>
    <xdr:graphicFrame macro="">
      <xdr:nvGraphicFramePr>
        <xdr:cNvPr id="73" name="Chart 72">
          <a:extLst>
            <a:ext uri="{FF2B5EF4-FFF2-40B4-BE49-F238E27FC236}">
              <a16:creationId xmlns:a16="http://schemas.microsoft.com/office/drawing/2014/main" id="{EDB78868-4EAF-49B9-909D-9A07175CF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388620</xdr:colOff>
      <xdr:row>0</xdr:row>
      <xdr:rowOff>91440</xdr:rowOff>
    </xdr:from>
    <xdr:to>
      <xdr:col>15</xdr:col>
      <xdr:colOff>22860</xdr:colOff>
      <xdr:row>3</xdr:row>
      <xdr:rowOff>144780</xdr:rowOff>
    </xdr:to>
    <xdr:sp macro="" textlink="">
      <xdr:nvSpPr>
        <xdr:cNvPr id="74" name="TextBox 73">
          <a:extLst>
            <a:ext uri="{FF2B5EF4-FFF2-40B4-BE49-F238E27FC236}">
              <a16:creationId xmlns:a16="http://schemas.microsoft.com/office/drawing/2014/main" id="{D4A25E97-59EC-6EF1-A990-0235D802F55C}"/>
            </a:ext>
          </a:extLst>
        </xdr:cNvPr>
        <xdr:cNvSpPr txBox="1"/>
      </xdr:nvSpPr>
      <xdr:spPr>
        <a:xfrm>
          <a:off x="3436620" y="91440"/>
          <a:ext cx="5730240" cy="601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6">
                  <a:lumMod val="75000"/>
                </a:schemeClr>
              </a:solidFill>
              <a:latin typeface="Microsoft Sans Serif" panose="020B0604020202020204" pitchFamily="34" charset="0"/>
              <a:ea typeface="Microsoft Sans Serif" panose="020B0604020202020204" pitchFamily="34" charset="0"/>
              <a:cs typeface="Microsoft Sans Serif" panose="020B0604020202020204" pitchFamily="34" charset="0"/>
            </a:rPr>
            <a:t>Sales dashboard</a:t>
          </a:r>
          <a:r>
            <a:rPr lang="en-IN" sz="3600" b="1" baseline="0">
              <a:solidFill>
                <a:schemeClr val="accent6">
                  <a:lumMod val="75000"/>
                </a:schemeClr>
              </a:solidFill>
              <a:latin typeface="Microsoft Sans Serif" panose="020B0604020202020204" pitchFamily="34" charset="0"/>
              <a:ea typeface="Microsoft Sans Serif" panose="020B0604020202020204" pitchFamily="34" charset="0"/>
              <a:cs typeface="Microsoft Sans Serif" panose="020B0604020202020204" pitchFamily="34" charset="0"/>
            </a:rPr>
            <a:t> 2026</a:t>
          </a:r>
          <a:endParaRPr lang="en-IN" sz="3600" b="1">
            <a:solidFill>
              <a:schemeClr val="accent6">
                <a:lumMod val="75000"/>
              </a:schemeClr>
            </a:solidFill>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xdr:from>
      <xdr:col>2</xdr:col>
      <xdr:colOff>274320</xdr:colOff>
      <xdr:row>9</xdr:row>
      <xdr:rowOff>30480</xdr:rowOff>
    </xdr:from>
    <xdr:to>
      <xdr:col>12</xdr:col>
      <xdr:colOff>259080</xdr:colOff>
      <xdr:row>23</xdr:row>
      <xdr:rowOff>45720</xdr:rowOff>
    </xdr:to>
    <xdr:sp macro="" textlink="">
      <xdr:nvSpPr>
        <xdr:cNvPr id="78" name="Rectangle: Rounded Corners 77">
          <a:extLst>
            <a:ext uri="{FF2B5EF4-FFF2-40B4-BE49-F238E27FC236}">
              <a16:creationId xmlns:a16="http://schemas.microsoft.com/office/drawing/2014/main" id="{AD50BE3B-E2D4-BE92-35AD-27FB32B9C39C}"/>
            </a:ext>
          </a:extLst>
        </xdr:cNvPr>
        <xdr:cNvSpPr/>
      </xdr:nvSpPr>
      <xdr:spPr>
        <a:xfrm>
          <a:off x="1493520" y="1676400"/>
          <a:ext cx="6080760" cy="2575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586740</xdr:colOff>
      <xdr:row>10</xdr:row>
      <xdr:rowOff>7620</xdr:rowOff>
    </xdr:from>
    <xdr:to>
      <xdr:col>11</xdr:col>
      <xdr:colOff>525780</xdr:colOff>
      <xdr:row>22</xdr:row>
      <xdr:rowOff>152400</xdr:rowOff>
    </xdr:to>
    <xdr:graphicFrame macro="">
      <xdr:nvGraphicFramePr>
        <xdr:cNvPr id="79" name="Chart 78">
          <a:extLst>
            <a:ext uri="{FF2B5EF4-FFF2-40B4-BE49-F238E27FC236}">
              <a16:creationId xmlns:a16="http://schemas.microsoft.com/office/drawing/2014/main" id="{AE84FBD2-4D08-4A96-B713-563B7F535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403860</xdr:colOff>
      <xdr:row>3</xdr:row>
      <xdr:rowOff>68580</xdr:rowOff>
    </xdr:from>
    <xdr:to>
      <xdr:col>19</xdr:col>
      <xdr:colOff>171060</xdr:colOff>
      <xdr:row>20</xdr:row>
      <xdr:rowOff>41377</xdr:rowOff>
    </xdr:to>
    <xdr:graphicFrame macro="">
      <xdr:nvGraphicFramePr>
        <xdr:cNvPr id="3" name="Chart 2">
          <a:extLst>
            <a:ext uri="{FF2B5EF4-FFF2-40B4-BE49-F238E27FC236}">
              <a16:creationId xmlns:a16="http://schemas.microsoft.com/office/drawing/2014/main" id="{32CE07A3-73C2-4A01-3A16-8A2DCC07B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24</xdr:row>
      <xdr:rowOff>41910</xdr:rowOff>
    </xdr:from>
    <xdr:to>
      <xdr:col>10</xdr:col>
      <xdr:colOff>624840</xdr:colOff>
      <xdr:row>39</xdr:row>
      <xdr:rowOff>41910</xdr:rowOff>
    </xdr:to>
    <xdr:graphicFrame macro="">
      <xdr:nvGraphicFramePr>
        <xdr:cNvPr id="4" name="Chart 3">
          <a:extLst>
            <a:ext uri="{FF2B5EF4-FFF2-40B4-BE49-F238E27FC236}">
              <a16:creationId xmlns:a16="http://schemas.microsoft.com/office/drawing/2014/main" id="{5DA8804B-9D04-2695-0E00-080A70261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22</xdr:row>
      <xdr:rowOff>76200</xdr:rowOff>
    </xdr:from>
    <xdr:to>
      <xdr:col>5</xdr:col>
      <xdr:colOff>137160</xdr:colOff>
      <xdr:row>37</xdr:row>
      <xdr:rowOff>76200</xdr:rowOff>
    </xdr:to>
    <xdr:graphicFrame macro="">
      <xdr:nvGraphicFramePr>
        <xdr:cNvPr id="5" name="Chart 4">
          <a:extLst>
            <a:ext uri="{FF2B5EF4-FFF2-40B4-BE49-F238E27FC236}">
              <a16:creationId xmlns:a16="http://schemas.microsoft.com/office/drawing/2014/main" id="{C0DC11E9-131C-70C1-B527-980656AEF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83820</xdr:colOff>
      <xdr:row>22</xdr:row>
      <xdr:rowOff>144780</xdr:rowOff>
    </xdr:from>
    <xdr:to>
      <xdr:col>17</xdr:col>
      <xdr:colOff>563880</xdr:colOff>
      <xdr:row>37</xdr:row>
      <xdr:rowOff>22860</xdr:rowOff>
    </xdr:to>
    <xdr:graphicFrame macro="">
      <xdr:nvGraphicFramePr>
        <xdr:cNvPr id="15" name="Chart 14">
          <a:extLst>
            <a:ext uri="{FF2B5EF4-FFF2-40B4-BE49-F238E27FC236}">
              <a16:creationId xmlns:a16="http://schemas.microsoft.com/office/drawing/2014/main" id="{96262977-B37F-8A1B-18A2-D8C343E23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50.802012731481" createdVersion="8" refreshedVersion="8" minRefreshableVersion="3" recordCount="50" xr:uid="{FD16BB2E-0451-480E-932E-5BC5905987B0}">
  <cacheSource type="worksheet">
    <worksheetSource name="Table1"/>
  </cacheSource>
  <cacheFields count="10">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 name="Grand total" numFmtId="0">
      <sharedItems containsBlank="1" containsMixedTypes="1" containsNumber="1" containsInteger="1" minValue="73" maxValue="438000" count="7">
        <n v="438000"/>
        <s v="Unit sold"/>
        <n v="73"/>
        <s v="Total profit"/>
        <n v="146000"/>
        <s v="Average sales"/>
        <m/>
      </sharedItems>
    </cacheField>
  </cacheFields>
  <extLst>
    <ext xmlns:x14="http://schemas.microsoft.com/office/spreadsheetml/2009/9/main" uri="{725AE2AE-9491-48be-B2B4-4EB974FC3084}">
      <x14:pivotCacheDefinition pivotCacheId="503944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x v="0"/>
  </r>
  <r>
    <d v="2021-09-07T00:00:00"/>
    <x v="1"/>
    <x v="1"/>
    <x v="1"/>
    <n v="128"/>
    <n v="3500"/>
    <n v="2500"/>
    <n v="448000"/>
    <n v="128000"/>
    <x v="1"/>
  </r>
  <r>
    <d v="2021-02-03T00:00:00"/>
    <x v="2"/>
    <x v="2"/>
    <x v="2"/>
    <n v="136"/>
    <n v="1200"/>
    <n v="800"/>
    <n v="163200"/>
    <n v="54400"/>
    <x v="2"/>
  </r>
  <r>
    <d v="2020-09-11T00:00:00"/>
    <x v="3"/>
    <x v="3"/>
    <x v="3"/>
    <n v="91"/>
    <n v="1000"/>
    <n v="700"/>
    <n v="91000"/>
    <n v="27300"/>
    <x v="3"/>
  </r>
  <r>
    <d v="2021-09-23T00:00:00"/>
    <x v="4"/>
    <x v="0"/>
    <x v="4"/>
    <n v="110"/>
    <n v="4000"/>
    <n v="3000"/>
    <n v="440000"/>
    <n v="110000"/>
    <x v="4"/>
  </r>
  <r>
    <d v="2020-10-01T00:00:00"/>
    <x v="5"/>
    <x v="1"/>
    <x v="2"/>
    <n v="51"/>
    <n v="1200"/>
    <n v="800"/>
    <n v="61200"/>
    <n v="20400"/>
    <x v="5"/>
  </r>
  <r>
    <d v="2021-08-05T00:00:00"/>
    <x v="6"/>
    <x v="3"/>
    <x v="3"/>
    <n v="78"/>
    <n v="1000"/>
    <n v="700"/>
    <n v="78000"/>
    <n v="23400"/>
    <x v="0"/>
  </r>
  <r>
    <d v="2020-11-06T00:00:00"/>
    <x v="7"/>
    <x v="2"/>
    <x v="0"/>
    <n v="146"/>
    <n v="6000"/>
    <n v="4000"/>
    <n v="876000"/>
    <n v="292000"/>
    <x v="6"/>
  </r>
  <r>
    <d v="2021-01-27T00:00:00"/>
    <x v="8"/>
    <x v="0"/>
    <x v="5"/>
    <n v="101"/>
    <n v="600"/>
    <n v="400"/>
    <n v="60600"/>
    <n v="20200"/>
    <x v="6"/>
  </r>
  <r>
    <d v="2021-09-03T00:00:00"/>
    <x v="9"/>
    <x v="2"/>
    <x v="0"/>
    <n v="52"/>
    <n v="6000"/>
    <n v="4000"/>
    <n v="312000"/>
    <n v="104000"/>
    <x v="6"/>
  </r>
  <r>
    <d v="2021-09-30T00:00:00"/>
    <x v="9"/>
    <x v="1"/>
    <x v="2"/>
    <n v="55"/>
    <n v="1200"/>
    <n v="800"/>
    <n v="66000"/>
    <n v="22000"/>
    <x v="6"/>
  </r>
  <r>
    <d v="2020-09-10T00:00:00"/>
    <x v="9"/>
    <x v="2"/>
    <x v="3"/>
    <n v="137"/>
    <n v="1000"/>
    <n v="700"/>
    <n v="137000"/>
    <n v="41100"/>
    <x v="6"/>
  </r>
  <r>
    <d v="2021-07-27T00:00:00"/>
    <x v="7"/>
    <x v="2"/>
    <x v="1"/>
    <n v="96"/>
    <n v="3500"/>
    <n v="2500"/>
    <n v="336000"/>
    <n v="96000"/>
    <x v="6"/>
  </r>
  <r>
    <d v="2020-10-09T00:00:00"/>
    <x v="8"/>
    <x v="1"/>
    <x v="4"/>
    <n v="52"/>
    <n v="4000"/>
    <n v="3000"/>
    <n v="208000"/>
    <n v="52000"/>
    <x v="6"/>
  </r>
  <r>
    <d v="2021-04-06T00:00:00"/>
    <x v="3"/>
    <x v="0"/>
    <x v="1"/>
    <n v="76"/>
    <n v="3500"/>
    <n v="2500"/>
    <n v="266000"/>
    <n v="76000"/>
    <x v="6"/>
  </r>
  <r>
    <d v="2021-06-15T00:00:00"/>
    <x v="1"/>
    <x v="3"/>
    <x v="4"/>
    <n v="145"/>
    <n v="4000"/>
    <n v="3000"/>
    <n v="580000"/>
    <n v="145000"/>
    <x v="6"/>
  </r>
  <r>
    <d v="2020-09-09T00:00:00"/>
    <x v="0"/>
    <x v="2"/>
    <x v="5"/>
    <n v="83"/>
    <n v="600"/>
    <n v="400"/>
    <n v="49800"/>
    <n v="16600"/>
    <x v="6"/>
  </r>
  <r>
    <d v="2021-08-13T00:00:00"/>
    <x v="4"/>
    <x v="2"/>
    <x v="3"/>
    <n v="91"/>
    <n v="1000"/>
    <n v="700"/>
    <n v="91000"/>
    <n v="27300"/>
    <x v="6"/>
  </r>
  <r>
    <d v="2020-08-27T00:00:00"/>
    <x v="5"/>
    <x v="0"/>
    <x v="6"/>
    <n v="108"/>
    <n v="10000"/>
    <n v="7000"/>
    <n v="1080000"/>
    <n v="324000"/>
    <x v="6"/>
  </r>
  <r>
    <d v="2021-04-07T00:00:00"/>
    <x v="2"/>
    <x v="3"/>
    <x v="4"/>
    <n v="144"/>
    <n v="4000"/>
    <n v="3000"/>
    <n v="576000"/>
    <n v="144000"/>
    <x v="6"/>
  </r>
  <r>
    <d v="2020-06-08T00:00:00"/>
    <x v="4"/>
    <x v="2"/>
    <x v="5"/>
    <n v="92"/>
    <n v="600"/>
    <n v="400"/>
    <n v="55200"/>
    <n v="18400"/>
    <x v="6"/>
  </r>
  <r>
    <d v="2021-12-21T00:00:00"/>
    <x v="7"/>
    <x v="0"/>
    <x v="0"/>
    <n v="71"/>
    <n v="6000"/>
    <n v="4000"/>
    <n v="426000"/>
    <n v="142000"/>
    <x v="6"/>
  </r>
  <r>
    <d v="2021-08-10T00:00:00"/>
    <x v="0"/>
    <x v="1"/>
    <x v="5"/>
    <n v="103"/>
    <n v="600"/>
    <n v="400"/>
    <n v="61800"/>
    <n v="20600"/>
    <x v="6"/>
  </r>
  <r>
    <d v="2021-12-02T00:00:00"/>
    <x v="9"/>
    <x v="3"/>
    <x v="3"/>
    <n v="55"/>
    <n v="1000"/>
    <n v="700"/>
    <n v="55000"/>
    <n v="16500"/>
    <x v="6"/>
  </r>
  <r>
    <d v="2021-08-30T00:00:00"/>
    <x v="5"/>
    <x v="1"/>
    <x v="4"/>
    <n v="93"/>
    <n v="4000"/>
    <n v="3000"/>
    <n v="372000"/>
    <n v="93000"/>
    <x v="6"/>
  </r>
  <r>
    <d v="2020-05-20T00:00:00"/>
    <x v="2"/>
    <x v="2"/>
    <x v="5"/>
    <n v="143"/>
    <n v="600"/>
    <n v="400"/>
    <n v="85800"/>
    <n v="28600"/>
    <x v="6"/>
  </r>
  <r>
    <d v="2021-09-13T00:00:00"/>
    <x v="6"/>
    <x v="0"/>
    <x v="1"/>
    <n v="143"/>
    <n v="3500"/>
    <n v="2500"/>
    <n v="500500"/>
    <n v="143000"/>
    <x v="6"/>
  </r>
  <r>
    <d v="2021-10-27T00:00:00"/>
    <x v="8"/>
    <x v="3"/>
    <x v="5"/>
    <n v="99"/>
    <n v="600"/>
    <n v="400"/>
    <n v="59400"/>
    <n v="19800"/>
    <x v="6"/>
  </r>
  <r>
    <d v="2020-12-22T00:00:00"/>
    <x v="3"/>
    <x v="0"/>
    <x v="3"/>
    <n v="120"/>
    <n v="1000"/>
    <n v="700"/>
    <n v="120000"/>
    <n v="36000"/>
    <x v="6"/>
  </r>
  <r>
    <d v="2021-07-28T00:00:00"/>
    <x v="1"/>
    <x v="2"/>
    <x v="1"/>
    <n v="66"/>
    <n v="3500"/>
    <n v="2500"/>
    <n v="231000"/>
    <n v="66000"/>
    <x v="6"/>
  </r>
  <r>
    <d v="2020-09-29T00:00:00"/>
    <x v="8"/>
    <x v="3"/>
    <x v="2"/>
    <n v="88"/>
    <n v="1200"/>
    <n v="800"/>
    <n v="105600"/>
    <n v="35200"/>
    <x v="6"/>
  </r>
  <r>
    <d v="2020-10-22T00:00:00"/>
    <x v="3"/>
    <x v="1"/>
    <x v="6"/>
    <n v="127"/>
    <n v="10000"/>
    <n v="7000"/>
    <n v="1270000"/>
    <n v="381000"/>
    <x v="6"/>
  </r>
  <r>
    <d v="2020-05-19T00:00:00"/>
    <x v="4"/>
    <x v="0"/>
    <x v="4"/>
    <n v="67"/>
    <n v="4000"/>
    <n v="3000"/>
    <n v="268000"/>
    <n v="67000"/>
    <x v="6"/>
  </r>
  <r>
    <d v="2021-12-06T00:00:00"/>
    <x v="1"/>
    <x v="1"/>
    <x v="2"/>
    <n v="67"/>
    <n v="1200"/>
    <n v="800"/>
    <n v="80400"/>
    <n v="26800"/>
    <x v="6"/>
  </r>
  <r>
    <d v="2020-08-26T00:00:00"/>
    <x v="9"/>
    <x v="2"/>
    <x v="3"/>
    <n v="149"/>
    <n v="1000"/>
    <n v="700"/>
    <n v="149000"/>
    <n v="44700"/>
    <x v="6"/>
  </r>
  <r>
    <d v="2021-07-01T00:00:00"/>
    <x v="4"/>
    <x v="3"/>
    <x v="5"/>
    <n v="104"/>
    <n v="600"/>
    <n v="400"/>
    <n v="62400"/>
    <n v="20800"/>
    <x v="6"/>
  </r>
  <r>
    <d v="2021-07-27T00:00:00"/>
    <x v="7"/>
    <x v="0"/>
    <x v="5"/>
    <n v="57"/>
    <n v="600"/>
    <n v="400"/>
    <n v="34200"/>
    <n v="11400"/>
    <x v="6"/>
  </r>
  <r>
    <d v="2020-10-05T00:00:00"/>
    <x v="2"/>
    <x v="1"/>
    <x v="5"/>
    <n v="90"/>
    <n v="600"/>
    <n v="400"/>
    <n v="54000"/>
    <n v="18000"/>
    <x v="6"/>
  </r>
  <r>
    <d v="2020-09-02T00:00:00"/>
    <x v="5"/>
    <x v="2"/>
    <x v="5"/>
    <n v="67"/>
    <n v="600"/>
    <n v="400"/>
    <n v="40200"/>
    <n v="13400"/>
    <x v="6"/>
  </r>
  <r>
    <d v="2021-09-02T00:00:00"/>
    <x v="0"/>
    <x v="3"/>
    <x v="4"/>
    <n v="127"/>
    <n v="4000"/>
    <n v="3000"/>
    <n v="508000"/>
    <n v="127000"/>
    <x v="6"/>
  </r>
  <r>
    <d v="2021-04-13T00:00:00"/>
    <x v="5"/>
    <x v="0"/>
    <x v="3"/>
    <n v="108"/>
    <n v="1000"/>
    <n v="700"/>
    <n v="108000"/>
    <n v="32400"/>
    <x v="6"/>
  </r>
  <r>
    <d v="2021-05-06T00:00:00"/>
    <x v="2"/>
    <x v="1"/>
    <x v="1"/>
    <n v="66"/>
    <n v="3500"/>
    <n v="2500"/>
    <n v="231000"/>
    <n v="66000"/>
    <x v="6"/>
  </r>
  <r>
    <d v="2021-01-15T00:00:00"/>
    <x v="0"/>
    <x v="3"/>
    <x v="0"/>
    <n v="78"/>
    <n v="6000"/>
    <n v="4000"/>
    <n v="468000"/>
    <n v="156000"/>
    <x v="6"/>
  </r>
  <r>
    <d v="2020-08-27T00:00:00"/>
    <x v="7"/>
    <x v="2"/>
    <x v="3"/>
    <n v="69"/>
    <n v="1000"/>
    <n v="700"/>
    <n v="69000"/>
    <n v="20700"/>
    <x v="6"/>
  </r>
  <r>
    <d v="2021-02-05T00:00:00"/>
    <x v="4"/>
    <x v="0"/>
    <x v="2"/>
    <n v="59"/>
    <n v="1200"/>
    <n v="800"/>
    <n v="70800"/>
    <n v="23600"/>
    <x v="6"/>
  </r>
  <r>
    <d v="2021-11-17T00:00:00"/>
    <x v="9"/>
    <x v="2"/>
    <x v="5"/>
    <n v="109"/>
    <n v="600"/>
    <n v="400"/>
    <n v="65400"/>
    <n v="21800"/>
    <x v="6"/>
  </r>
  <r>
    <d v="2020-12-28T00:00:00"/>
    <x v="8"/>
    <x v="1"/>
    <x v="4"/>
    <n v="61"/>
    <n v="4000"/>
    <n v="3000"/>
    <n v="244000"/>
    <n v="61000"/>
    <x v="6"/>
  </r>
  <r>
    <d v="2021-10-27T00:00:00"/>
    <x v="4"/>
    <x v="3"/>
    <x v="5"/>
    <n v="130"/>
    <n v="600"/>
    <n v="400"/>
    <n v="78000"/>
    <n v="26000"/>
    <x v="6"/>
  </r>
  <r>
    <d v="2021-11-02T00:00:00"/>
    <x v="3"/>
    <x v="2"/>
    <x v="1"/>
    <n v="60"/>
    <n v="3500"/>
    <n v="2500"/>
    <n v="210000"/>
    <n v="60000"/>
    <x v="6"/>
  </r>
  <r>
    <d v="2020-05-07T00:00:00"/>
    <x v="1"/>
    <x v="1"/>
    <x v="0"/>
    <n v="73"/>
    <n v="6000"/>
    <n v="4000"/>
    <n v="438000"/>
    <n v="146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650E5-B404-43DB-B089-55032EDC69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5:K23" firstHeaderRow="1" firstDataRow="1" firstDataCol="1"/>
  <pivotFields count="10">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3A097-4CD5-43DF-9462-2978CCD4A6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H22" firstHeaderRow="1" firstDataRow="1" firstDataCol="1"/>
  <pivotFields count="10">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5"/>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E5AF5-5E63-432C-80D5-567036F888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7:E15" firstHeaderRow="1" firstDataRow="1" firstDataCol="1"/>
  <pivotFields count="10">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s>
  <rowFields count="1">
    <field x="3"/>
  </rowFields>
  <rowItems count="8">
    <i>
      <x/>
    </i>
    <i>
      <x v="1"/>
    </i>
    <i>
      <x v="2"/>
    </i>
    <i>
      <x v="3"/>
    </i>
    <i>
      <x v="4"/>
    </i>
    <i>
      <x v="5"/>
    </i>
    <i>
      <x v="6"/>
    </i>
    <i t="grand">
      <x/>
    </i>
  </rowItems>
  <colItems count="1">
    <i/>
  </colItems>
  <dataFields count="1">
    <dataField name="Sum of Total Sales" fld="7" baseField="0" baseItem="0" numFmtId="165"/>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DAB5E-CADB-4260-90C5-E7EF2B62F6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0" firstHeaderRow="1" firstDataRow="1" firstDataCol="1"/>
  <pivotFields count="10">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items count="8">
        <item x="2"/>
        <item x="4"/>
        <item x="0"/>
        <item x="5"/>
        <item x="3"/>
        <item x="1"/>
        <item x="6"/>
        <item t="default"/>
      </items>
    </pivotField>
  </pivotFields>
  <rowFields count="1">
    <field x="2"/>
  </rowFields>
  <rowItems count="5">
    <i>
      <x/>
    </i>
    <i>
      <x v="1"/>
    </i>
    <i>
      <x v="2"/>
    </i>
    <i>
      <x v="3"/>
    </i>
    <i t="grand">
      <x/>
    </i>
  </rowItems>
  <colItems count="1">
    <i/>
  </colItems>
  <dataFields count="1">
    <dataField name="Sum of Total Sales" fld="7"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B3BAF3C-94BB-4C48-A5F2-429244FA124D}" sourceName="Sales Person">
  <pivotTables>
    <pivotTable tabId="4" name="PivotTable7"/>
    <pivotTable tabId="4" name="PivotTable2"/>
    <pivotTable tabId="4" name="PivotTable4"/>
    <pivotTable tabId="4" name="PivotTable5"/>
  </pivotTables>
  <data>
    <tabular pivotCacheId="503944085">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14DE31-4DAA-479B-8DA8-6774F9D40EC2}" sourceName="Region">
  <pivotTables>
    <pivotTable tabId="4" name="PivotTable7"/>
    <pivotTable tabId="4" name="PivotTable2"/>
    <pivotTable tabId="4" name="PivotTable4"/>
    <pivotTable tabId="4" name="PivotTable5"/>
  </pivotTables>
  <data>
    <tabular pivotCacheId="503944085">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D5C8111-DA8C-4590-85FA-DDDE3237D957}" sourceName="Product">
  <pivotTables>
    <pivotTable tabId="4" name="PivotTable7"/>
    <pivotTable tabId="4" name="PivotTable2"/>
    <pivotTable tabId="4" name="PivotTable4"/>
    <pivotTable tabId="4" name="PivotTable5"/>
  </pivotTables>
  <data>
    <tabular pivotCacheId="503944085">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6D040AF0-F1A9-40F8-B68E-0A888C919FB6}" cache="Slicer_Sales_Person" caption="Sales Person" startItem="4" style="SlicerStyleDark6" rowHeight="247650"/>
  <slicer name="Region 1" xr10:uid="{A56F8F26-A803-4E44-86D5-3F9D58E2CFD1}" cache="Slicer_Region" caption="Region" columnCount="2" showCaption="0" style="SlicerStyleDark6" rowHeight="247650"/>
  <slicer name="Product 1" xr10:uid="{4327B43D-B42E-4F83-BFC0-7660290395EE}" cache="Slicer_Product" caption="Product"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97DC98-D798-457D-BFAC-AF0940F24957}" name="Table1" displayName="Table1" ref="A1:J51" totalsRowShown="0" headerRowDxfId="19" dataDxfId="18" dataCellStyle="Currency [0]">
  <autoFilter ref="A1:J51" xr:uid="{8A97DC98-D798-457D-BFAC-AF0940F24957}"/>
  <tableColumns count="10">
    <tableColumn id="1" xr3:uid="{1A366988-3E04-415B-939D-4DDC5384B8C5}" name="Date" dataDxfId="17"/>
    <tableColumn id="2" xr3:uid="{AF92902A-F403-468B-9976-0DC5F586A403}" name="Sales Person"/>
    <tableColumn id="3" xr3:uid="{FF8096FE-810E-4F9E-801E-520E334A3196}" name="Region"/>
    <tableColumn id="4" xr3:uid="{46364D17-89FE-4382-A926-C696D774BCA7}" name="Product"/>
    <tableColumn id="5" xr3:uid="{B25AC834-B107-4DD2-92FF-D47998D09D6E}" name="Units Sold" dataDxfId="16"/>
    <tableColumn id="6" xr3:uid="{7968988B-1D64-4969-984F-C4CEE2E27D80}" name="Unit Price" dataDxfId="15" dataCellStyle="Currency [0]">
      <calculatedColumnFormula>IF(D2="Tent",6000,IF(D2="Blender",3500,IF(D2="Action Figure",1200,IF(D2="Novel",1000,IF(D2="Sneakers",4000,IF(D2="Smartphone",10000,IF(D2="moisturizer",600,"No Product Found")))))))</calculatedColumnFormula>
    </tableColumn>
    <tableColumn id="7" xr3:uid="{2222B12B-77FB-479D-9641-CC732EA5BE26}" name="Cost of Goods" dataDxfId="14" dataCellStyle="Currency [0]">
      <calculatedColumnFormula>IF(D2="Tent",4000,IF(D2="Blender",2500,IF(D2="Action Figure",800,IF(D2="Novel",700,IF(D2="Sneakers",3000,IF(D2="Smartphone",7000,IF(D2="moisturizer",400,"No Product Found")))))))</calculatedColumnFormula>
    </tableColumn>
    <tableColumn id="8" xr3:uid="{E1BF5755-2D73-430E-92AD-33F9F809F87D}" name="Total Sales" dataDxfId="13" dataCellStyle="Currency [0]">
      <calculatedColumnFormula>F2*E2</calculatedColumnFormula>
    </tableColumn>
    <tableColumn id="9" xr3:uid="{1F472BB3-BCFF-4EC6-8308-1116D9B9596C}" name="Profit" dataDxfId="12">
      <calculatedColumnFormula>H2-(G2*E2)</calculatedColumnFormula>
    </tableColumn>
    <tableColumn id="10" xr3:uid="{D91FA276-C15F-4829-8018-F974E10A14C7}" name="Grand total"/>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99E5-AB8F-4BA4-BA16-C4C47E5CD32F}">
  <dimension ref="A1"/>
  <sheetViews>
    <sheetView tabSelected="1" workbookViewId="0">
      <selection activeCell="A7" sqref="A5:B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F4630-FCC4-4A48-8BDC-1EEBA70FA388}">
  <dimension ref="A5:K23"/>
  <sheetViews>
    <sheetView workbookViewId="0">
      <selection activeCell="K8" sqref="K8"/>
    </sheetView>
  </sheetViews>
  <sheetFormatPr defaultRowHeight="14.4" x14ac:dyDescent="0.3"/>
  <cols>
    <col min="1" max="1" width="12.44140625" bestFit="1" customWidth="1"/>
    <col min="2" max="2" width="16.109375" bestFit="1" customWidth="1"/>
    <col min="4" max="4" width="12.44140625" bestFit="1" customWidth="1"/>
    <col min="5" max="5" width="16.109375" bestFit="1" customWidth="1"/>
    <col min="7" max="7" width="12.44140625" bestFit="1" customWidth="1"/>
    <col min="8" max="8" width="16.109375" bestFit="1" customWidth="1"/>
    <col min="9" max="10" width="12.44140625" bestFit="1" customWidth="1"/>
    <col min="11" max="11" width="15.5546875" bestFit="1" customWidth="1"/>
  </cols>
  <sheetData>
    <row r="5" spans="1:11" x14ac:dyDescent="0.3">
      <c r="A5" s="7" t="s">
        <v>34</v>
      </c>
      <c r="B5" t="s">
        <v>36</v>
      </c>
    </row>
    <row r="6" spans="1:11" x14ac:dyDescent="0.3">
      <c r="A6" s="3" t="s">
        <v>12</v>
      </c>
      <c r="B6" s="6">
        <v>3534400</v>
      </c>
    </row>
    <row r="7" spans="1:11" x14ac:dyDescent="0.3">
      <c r="A7" s="3" t="s">
        <v>18</v>
      </c>
      <c r="B7" s="6">
        <v>2661400</v>
      </c>
      <c r="D7" s="9" t="s">
        <v>34</v>
      </c>
      <c r="E7" s="8" t="s">
        <v>36</v>
      </c>
    </row>
    <row r="8" spans="1:11" x14ac:dyDescent="0.3">
      <c r="A8" s="3" t="s">
        <v>15</v>
      </c>
      <c r="B8" s="6">
        <v>2870600</v>
      </c>
      <c r="D8" s="10" t="s">
        <v>16</v>
      </c>
      <c r="E8" s="8">
        <v>547200</v>
      </c>
    </row>
    <row r="9" spans="1:11" x14ac:dyDescent="0.3">
      <c r="A9" s="3" t="s">
        <v>9</v>
      </c>
      <c r="B9" s="6">
        <v>3878100</v>
      </c>
      <c r="D9" s="10" t="s">
        <v>13</v>
      </c>
      <c r="E9" s="8">
        <v>2222500</v>
      </c>
    </row>
    <row r="10" spans="1:11" x14ac:dyDescent="0.3">
      <c r="A10" s="3" t="s">
        <v>35</v>
      </c>
      <c r="B10" s="6">
        <v>12944500</v>
      </c>
      <c r="D10" s="10" t="s">
        <v>26</v>
      </c>
      <c r="E10" s="8">
        <v>706800</v>
      </c>
    </row>
    <row r="11" spans="1:11" x14ac:dyDescent="0.3">
      <c r="D11" s="10" t="s">
        <v>19</v>
      </c>
      <c r="E11" s="8">
        <v>898000</v>
      </c>
      <c r="G11" s="9" t="s">
        <v>34</v>
      </c>
      <c r="H11" s="8" t="s">
        <v>36</v>
      </c>
    </row>
    <row r="12" spans="1:11" x14ac:dyDescent="0.3">
      <c r="D12" s="10" t="s">
        <v>28</v>
      </c>
      <c r="E12" s="8">
        <v>2350000</v>
      </c>
      <c r="G12" s="10" t="s">
        <v>8</v>
      </c>
      <c r="H12" s="8">
        <v>1591600</v>
      </c>
    </row>
    <row r="13" spans="1:11" x14ac:dyDescent="0.3">
      <c r="D13" s="10" t="s">
        <v>21</v>
      </c>
      <c r="E13" s="8">
        <v>3196000</v>
      </c>
      <c r="G13" s="10" t="s">
        <v>25</v>
      </c>
      <c r="H13" s="8">
        <v>677600</v>
      </c>
    </row>
    <row r="14" spans="1:11" x14ac:dyDescent="0.3">
      <c r="D14" s="10" t="s">
        <v>10</v>
      </c>
      <c r="E14" s="8">
        <v>3024000</v>
      </c>
      <c r="G14" s="10" t="s">
        <v>17</v>
      </c>
      <c r="H14" s="8">
        <v>1957000</v>
      </c>
    </row>
    <row r="15" spans="1:11" x14ac:dyDescent="0.3">
      <c r="D15" s="10" t="s">
        <v>35</v>
      </c>
      <c r="E15" s="8">
        <v>12944500</v>
      </c>
      <c r="G15" s="10" t="s">
        <v>22</v>
      </c>
      <c r="H15" s="8">
        <v>1661400</v>
      </c>
      <c r="J15" s="7" t="s">
        <v>34</v>
      </c>
      <c r="K15" t="s">
        <v>37</v>
      </c>
    </row>
    <row r="16" spans="1:11" x14ac:dyDescent="0.3">
      <c r="G16" s="10" t="s">
        <v>24</v>
      </c>
      <c r="H16" s="8">
        <v>1741200</v>
      </c>
      <c r="J16" s="3" t="s">
        <v>16</v>
      </c>
      <c r="K16">
        <v>456</v>
      </c>
    </row>
    <row r="17" spans="7:11" x14ac:dyDescent="0.3">
      <c r="G17" s="10" t="s">
        <v>14</v>
      </c>
      <c r="H17" s="8">
        <v>1110000</v>
      </c>
      <c r="J17" s="3" t="s">
        <v>13</v>
      </c>
      <c r="K17">
        <v>635</v>
      </c>
    </row>
    <row r="18" spans="7:11" x14ac:dyDescent="0.3">
      <c r="G18" s="10" t="s">
        <v>11</v>
      </c>
      <c r="H18" s="8">
        <v>1777400</v>
      </c>
      <c r="J18" s="3" t="s">
        <v>26</v>
      </c>
      <c r="K18">
        <v>1178</v>
      </c>
    </row>
    <row r="19" spans="7:11" x14ac:dyDescent="0.3">
      <c r="G19" s="10" t="s">
        <v>20</v>
      </c>
      <c r="H19" s="8">
        <v>1065400</v>
      </c>
      <c r="J19" s="3" t="s">
        <v>19</v>
      </c>
      <c r="K19">
        <v>898</v>
      </c>
    </row>
    <row r="20" spans="7:11" x14ac:dyDescent="0.3">
      <c r="G20" s="10" t="s">
        <v>27</v>
      </c>
      <c r="H20" s="8">
        <v>784400</v>
      </c>
      <c r="J20" s="3" t="s">
        <v>28</v>
      </c>
      <c r="K20">
        <v>235</v>
      </c>
    </row>
    <row r="21" spans="7:11" x14ac:dyDescent="0.3">
      <c r="G21" s="10" t="s">
        <v>23</v>
      </c>
      <c r="H21" s="8">
        <v>578500</v>
      </c>
      <c r="J21" s="3" t="s">
        <v>21</v>
      </c>
      <c r="K21">
        <v>799</v>
      </c>
    </row>
    <row r="22" spans="7:11" x14ac:dyDescent="0.3">
      <c r="G22" s="10" t="s">
        <v>35</v>
      </c>
      <c r="H22" s="8">
        <v>12944500</v>
      </c>
      <c r="J22" s="3" t="s">
        <v>10</v>
      </c>
      <c r="K22">
        <v>504</v>
      </c>
    </row>
    <row r="23" spans="7:11" x14ac:dyDescent="0.3">
      <c r="J23" s="3" t="s">
        <v>35</v>
      </c>
      <c r="K23">
        <v>4705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J51"/>
  <sheetViews>
    <sheetView topLeftCell="A2" workbookViewId="0">
      <selection activeCell="K36" sqref="K36"/>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s>
  <sheetData>
    <row r="1" spans="1:10" ht="20.100000000000001" customHeight="1" thickBot="1" x14ac:dyDescent="0.35">
      <c r="A1" s="1" t="s">
        <v>0</v>
      </c>
      <c r="B1" s="1" t="s">
        <v>1</v>
      </c>
      <c r="C1" s="1" t="s">
        <v>2</v>
      </c>
      <c r="D1" s="1" t="s">
        <v>3</v>
      </c>
      <c r="E1" s="1" t="s">
        <v>4</v>
      </c>
      <c r="F1" s="1" t="s">
        <v>5</v>
      </c>
      <c r="G1" s="1" t="s">
        <v>6</v>
      </c>
      <c r="H1" s="1" t="s">
        <v>7</v>
      </c>
      <c r="I1" s="5" t="s">
        <v>33</v>
      </c>
      <c r="J1" s="5" t="s">
        <v>29</v>
      </c>
    </row>
    <row r="2" spans="1:10"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J2" s="11">
        <f>SUM(H51)</f>
        <v>438000</v>
      </c>
    </row>
    <row r="3" spans="1:10"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c r="J3" t="s">
        <v>30</v>
      </c>
    </row>
    <row r="4" spans="1:10" x14ac:dyDescent="0.3">
      <c r="A4" s="2">
        <v>44230</v>
      </c>
      <c r="B4" t="s">
        <v>14</v>
      </c>
      <c r="C4" t="s">
        <v>15</v>
      </c>
      <c r="D4" t="s">
        <v>16</v>
      </c>
      <c r="E4" s="3">
        <v>136</v>
      </c>
      <c r="F4" s="4">
        <f t="shared" si="0"/>
        <v>1200</v>
      </c>
      <c r="G4" s="4">
        <f t="shared" si="1"/>
        <v>800</v>
      </c>
      <c r="H4" s="4">
        <f t="shared" si="2"/>
        <v>163200</v>
      </c>
      <c r="I4" s="6">
        <f t="shared" si="3"/>
        <v>54400</v>
      </c>
      <c r="J4">
        <f>SUM(E51)</f>
        <v>73</v>
      </c>
    </row>
    <row r="5" spans="1:10" x14ac:dyDescent="0.3">
      <c r="A5" s="2">
        <v>44085</v>
      </c>
      <c r="B5" t="s">
        <v>17</v>
      </c>
      <c r="C5" t="s">
        <v>18</v>
      </c>
      <c r="D5" t="s">
        <v>19</v>
      </c>
      <c r="E5" s="3">
        <v>91</v>
      </c>
      <c r="F5" s="4">
        <f t="shared" si="0"/>
        <v>1000</v>
      </c>
      <c r="G5" s="4">
        <f t="shared" si="1"/>
        <v>700</v>
      </c>
      <c r="H5" s="4">
        <f t="shared" si="2"/>
        <v>91000</v>
      </c>
      <c r="I5" s="6">
        <f t="shared" si="3"/>
        <v>27300</v>
      </c>
      <c r="J5" t="s">
        <v>31</v>
      </c>
    </row>
    <row r="6" spans="1:10" x14ac:dyDescent="0.3">
      <c r="A6" s="2">
        <v>44462</v>
      </c>
      <c r="B6" t="s">
        <v>20</v>
      </c>
      <c r="C6" t="s">
        <v>9</v>
      </c>
      <c r="D6" t="s">
        <v>21</v>
      </c>
      <c r="E6" s="3">
        <v>110</v>
      </c>
      <c r="F6" s="4">
        <f t="shared" si="0"/>
        <v>4000</v>
      </c>
      <c r="G6" s="4">
        <f t="shared" si="1"/>
        <v>3000</v>
      </c>
      <c r="H6" s="4">
        <f t="shared" si="2"/>
        <v>440000</v>
      </c>
      <c r="I6" s="6">
        <f t="shared" si="3"/>
        <v>110000</v>
      </c>
      <c r="J6" s="11">
        <f>SUM(I51)</f>
        <v>146000</v>
      </c>
    </row>
    <row r="7" spans="1:10" x14ac:dyDescent="0.3">
      <c r="A7" s="2">
        <v>44105</v>
      </c>
      <c r="B7" t="s">
        <v>22</v>
      </c>
      <c r="C7" t="s">
        <v>12</v>
      </c>
      <c r="D7" t="s">
        <v>16</v>
      </c>
      <c r="E7" s="3">
        <v>51</v>
      </c>
      <c r="F7" s="4">
        <f t="shared" si="0"/>
        <v>1200</v>
      </c>
      <c r="G7" s="4">
        <f t="shared" si="1"/>
        <v>800</v>
      </c>
      <c r="H7" s="4">
        <f t="shared" si="2"/>
        <v>61200</v>
      </c>
      <c r="I7" s="6">
        <f t="shared" si="3"/>
        <v>20400</v>
      </c>
      <c r="J7" t="s">
        <v>32</v>
      </c>
    </row>
    <row r="8" spans="1:10" x14ac:dyDescent="0.3">
      <c r="A8" s="2">
        <v>44413</v>
      </c>
      <c r="B8" t="s">
        <v>23</v>
      </c>
      <c r="C8" t="s">
        <v>18</v>
      </c>
      <c r="D8" t="s">
        <v>19</v>
      </c>
      <c r="E8" s="3">
        <v>78</v>
      </c>
      <c r="F8" s="4">
        <f t="shared" si="0"/>
        <v>1000</v>
      </c>
      <c r="G8" s="4">
        <f t="shared" si="1"/>
        <v>700</v>
      </c>
      <c r="H8" s="4">
        <f t="shared" si="2"/>
        <v>78000</v>
      </c>
      <c r="I8" s="6">
        <f t="shared" si="3"/>
        <v>23400</v>
      </c>
      <c r="J8" s="11">
        <f>AVERAGE(H51)</f>
        <v>438000</v>
      </c>
    </row>
    <row r="9" spans="1:10" x14ac:dyDescent="0.3">
      <c r="A9" s="2">
        <v>44141</v>
      </c>
      <c r="B9" t="s">
        <v>24</v>
      </c>
      <c r="C9" t="s">
        <v>15</v>
      </c>
      <c r="D9" t="s">
        <v>10</v>
      </c>
      <c r="E9" s="3">
        <v>146</v>
      </c>
      <c r="F9" s="4">
        <f t="shared" si="0"/>
        <v>6000</v>
      </c>
      <c r="G9" s="4">
        <f t="shared" si="1"/>
        <v>4000</v>
      </c>
      <c r="H9" s="4">
        <f t="shared" si="2"/>
        <v>876000</v>
      </c>
      <c r="I9" s="6">
        <f t="shared" si="3"/>
        <v>292000</v>
      </c>
    </row>
    <row r="10" spans="1:10" x14ac:dyDescent="0.3">
      <c r="A10" s="2">
        <v>44223</v>
      </c>
      <c r="B10" t="s">
        <v>25</v>
      </c>
      <c r="C10" t="s">
        <v>9</v>
      </c>
      <c r="D10" t="s">
        <v>26</v>
      </c>
      <c r="E10" s="3">
        <v>101</v>
      </c>
      <c r="F10" s="4">
        <f t="shared" si="0"/>
        <v>600</v>
      </c>
      <c r="G10" s="4">
        <f t="shared" si="1"/>
        <v>400</v>
      </c>
      <c r="H10" s="4">
        <f t="shared" si="2"/>
        <v>60600</v>
      </c>
      <c r="I10" s="6">
        <f t="shared" si="3"/>
        <v>20200</v>
      </c>
    </row>
    <row r="11" spans="1:10" x14ac:dyDescent="0.3">
      <c r="A11" s="2">
        <v>44442</v>
      </c>
      <c r="B11" t="s">
        <v>27</v>
      </c>
      <c r="C11" t="s">
        <v>15</v>
      </c>
      <c r="D11" t="s">
        <v>10</v>
      </c>
      <c r="E11" s="3">
        <v>52</v>
      </c>
      <c r="F11" s="4">
        <f t="shared" si="0"/>
        <v>6000</v>
      </c>
      <c r="G11" s="4">
        <f t="shared" si="1"/>
        <v>4000</v>
      </c>
      <c r="H11" s="4">
        <f t="shared" si="2"/>
        <v>312000</v>
      </c>
      <c r="I11" s="6">
        <f t="shared" si="3"/>
        <v>104000</v>
      </c>
    </row>
    <row r="12" spans="1:10" x14ac:dyDescent="0.3">
      <c r="A12" s="2">
        <v>44469</v>
      </c>
      <c r="B12" t="s">
        <v>27</v>
      </c>
      <c r="C12" t="s">
        <v>12</v>
      </c>
      <c r="D12" t="s">
        <v>16</v>
      </c>
      <c r="E12" s="3">
        <v>55</v>
      </c>
      <c r="F12" s="4">
        <f t="shared" si="0"/>
        <v>1200</v>
      </c>
      <c r="G12" s="4">
        <f t="shared" si="1"/>
        <v>800</v>
      </c>
      <c r="H12" s="4">
        <f t="shared" si="2"/>
        <v>66000</v>
      </c>
      <c r="I12" s="6">
        <f t="shared" si="3"/>
        <v>22000</v>
      </c>
    </row>
    <row r="13" spans="1:10" x14ac:dyDescent="0.3">
      <c r="A13" s="2">
        <v>44084</v>
      </c>
      <c r="B13" t="s">
        <v>27</v>
      </c>
      <c r="C13" t="s">
        <v>15</v>
      </c>
      <c r="D13" t="s">
        <v>19</v>
      </c>
      <c r="E13" s="3">
        <v>137</v>
      </c>
      <c r="F13" s="4">
        <f t="shared" si="0"/>
        <v>1000</v>
      </c>
      <c r="G13" s="4">
        <f t="shared" si="1"/>
        <v>700</v>
      </c>
      <c r="H13" s="4">
        <f t="shared" si="2"/>
        <v>137000</v>
      </c>
      <c r="I13" s="6">
        <f t="shared" si="3"/>
        <v>41100</v>
      </c>
    </row>
    <row r="14" spans="1:10" x14ac:dyDescent="0.3">
      <c r="A14" s="2">
        <v>44404</v>
      </c>
      <c r="B14" t="s">
        <v>24</v>
      </c>
      <c r="C14" t="s">
        <v>15</v>
      </c>
      <c r="D14" t="s">
        <v>13</v>
      </c>
      <c r="E14" s="3">
        <v>96</v>
      </c>
      <c r="F14" s="4">
        <f t="shared" si="0"/>
        <v>3500</v>
      </c>
      <c r="G14" s="4">
        <f t="shared" si="1"/>
        <v>2500</v>
      </c>
      <c r="H14" s="4">
        <f t="shared" si="2"/>
        <v>336000</v>
      </c>
      <c r="I14" s="6">
        <f t="shared" si="3"/>
        <v>96000</v>
      </c>
    </row>
    <row r="15" spans="1:10" x14ac:dyDescent="0.3">
      <c r="A15" s="2">
        <v>44113</v>
      </c>
      <c r="B15" t="s">
        <v>25</v>
      </c>
      <c r="C15" t="s">
        <v>12</v>
      </c>
      <c r="D15" t="s">
        <v>21</v>
      </c>
      <c r="E15" s="3">
        <v>52</v>
      </c>
      <c r="F15" s="4">
        <f t="shared" si="0"/>
        <v>4000</v>
      </c>
      <c r="G15" s="4">
        <f t="shared" si="1"/>
        <v>3000</v>
      </c>
      <c r="H15" s="4">
        <f t="shared" si="2"/>
        <v>208000</v>
      </c>
      <c r="I15" s="6">
        <f t="shared" si="3"/>
        <v>52000</v>
      </c>
    </row>
    <row r="16" spans="1:10"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 t="shared" si="3"/>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dineshkumar1105pro@outlook.com</cp:lastModifiedBy>
  <dcterms:created xsi:type="dcterms:W3CDTF">2024-05-30T14:35:02Z</dcterms:created>
  <dcterms:modified xsi:type="dcterms:W3CDTF">2026-08-17T07:19:16Z</dcterms:modified>
</cp:coreProperties>
</file>