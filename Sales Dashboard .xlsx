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https://d.docs.live.net/E22AA19E7C7A070A/Documents/"/>
    </mc:Choice>
  </mc:AlternateContent>
  <xr:revisionPtr revIDLastSave="313" documentId="8_{1B3E43C6-C37E-49A9-9C05-8F8189B30D0F}" xr6:coauthVersionLast="47" xr6:coauthVersionMax="47" xr10:uidLastSave="{3B0669AB-97CC-4D7D-B68F-ABC27CC3D0BB}"/>
  <bookViews>
    <workbookView xWindow="-108" yWindow="-108" windowWidth="23256" windowHeight="12456" activeTab="2" xr2:uid="{C0893FBD-34B3-420E-B0D6-EC330180DDEA}"/>
  </bookViews>
  <sheets>
    <sheet name="Sheet1" sheetId="7" r:id="rId1"/>
    <sheet name="Sheet2" sheetId="4" r:id="rId2"/>
    <sheet name="SalesData" sheetId="3" r:id="rId3"/>
  </sheets>
  <definedNames>
    <definedName name="Slicer_Product">#N/A</definedName>
    <definedName name="Slicer_Region">#N/A</definedName>
    <definedName name="Slicer_Sales_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3" l="1"/>
  <c r="J6" i="3"/>
  <c r="J4" i="3"/>
  <c r="J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2" i="3"/>
  <c r="H51" i="3"/>
  <c r="G51" i="3"/>
  <c r="F51" i="3"/>
  <c r="H50" i="3"/>
  <c r="G50" i="3"/>
  <c r="F50" i="3"/>
  <c r="H49" i="3"/>
  <c r="G49" i="3"/>
  <c r="F49" i="3"/>
  <c r="H48" i="3"/>
  <c r="G48" i="3"/>
  <c r="F48" i="3"/>
  <c r="H47" i="3"/>
  <c r="G47" i="3"/>
  <c r="F47" i="3"/>
  <c r="H46" i="3"/>
  <c r="G46" i="3"/>
  <c r="F46" i="3"/>
  <c r="H45" i="3"/>
  <c r="G45" i="3"/>
  <c r="F45" i="3"/>
  <c r="H44" i="3"/>
  <c r="G44" i="3"/>
  <c r="F44" i="3"/>
  <c r="H43" i="3"/>
  <c r="G43" i="3"/>
  <c r="F43" i="3"/>
  <c r="H42" i="3"/>
  <c r="G42" i="3"/>
  <c r="F42" i="3"/>
  <c r="H41" i="3"/>
  <c r="G41" i="3"/>
  <c r="F41" i="3"/>
  <c r="H40" i="3"/>
  <c r="G40" i="3"/>
  <c r="F40" i="3"/>
  <c r="H39" i="3"/>
  <c r="G39" i="3"/>
  <c r="F39" i="3"/>
  <c r="H38" i="3"/>
  <c r="G38" i="3"/>
  <c r="F38" i="3"/>
  <c r="H37" i="3"/>
  <c r="G37" i="3"/>
  <c r="F37" i="3"/>
  <c r="H36" i="3"/>
  <c r="G36" i="3"/>
  <c r="F36" i="3"/>
  <c r="H35" i="3"/>
  <c r="G35" i="3"/>
  <c r="F35" i="3"/>
  <c r="H34" i="3"/>
  <c r="G34" i="3"/>
  <c r="F34" i="3"/>
  <c r="H33" i="3"/>
  <c r="G33" i="3"/>
  <c r="F33" i="3"/>
  <c r="H32" i="3"/>
  <c r="G32" i="3"/>
  <c r="F32" i="3"/>
  <c r="H31" i="3"/>
  <c r="G31" i="3"/>
  <c r="F31" i="3"/>
  <c r="H30" i="3"/>
  <c r="G30" i="3"/>
  <c r="F30" i="3"/>
  <c r="H29" i="3"/>
  <c r="G29" i="3"/>
  <c r="F29" i="3"/>
  <c r="H28" i="3"/>
  <c r="G28" i="3"/>
  <c r="F28" i="3"/>
  <c r="H27" i="3"/>
  <c r="G27" i="3"/>
  <c r="F27" i="3"/>
  <c r="H26" i="3"/>
  <c r="G26" i="3"/>
  <c r="F26" i="3"/>
  <c r="H25" i="3"/>
  <c r="G25" i="3"/>
  <c r="F25" i="3"/>
  <c r="H24" i="3"/>
  <c r="G24" i="3"/>
  <c r="F24" i="3"/>
  <c r="H23" i="3"/>
  <c r="G23" i="3"/>
  <c r="F23" i="3"/>
  <c r="H22" i="3"/>
  <c r="G22" i="3"/>
  <c r="F22" i="3"/>
  <c r="H21" i="3"/>
  <c r="G21" i="3"/>
  <c r="F21" i="3"/>
  <c r="H20" i="3"/>
  <c r="G20" i="3"/>
  <c r="F20" i="3"/>
  <c r="H19" i="3"/>
  <c r="G19" i="3"/>
  <c r="F19" i="3"/>
  <c r="H18" i="3"/>
  <c r="G18" i="3"/>
  <c r="F18" i="3"/>
  <c r="H17" i="3"/>
  <c r="G17" i="3"/>
  <c r="F17" i="3"/>
  <c r="H16" i="3"/>
  <c r="G16" i="3"/>
  <c r="F16" i="3"/>
  <c r="H15" i="3"/>
  <c r="G15" i="3"/>
  <c r="F15" i="3"/>
  <c r="H14" i="3"/>
  <c r="G14" i="3"/>
  <c r="F14" i="3"/>
  <c r="H13" i="3"/>
  <c r="G13" i="3"/>
  <c r="F13" i="3"/>
  <c r="H12" i="3"/>
  <c r="G12" i="3"/>
  <c r="F12" i="3"/>
  <c r="H11" i="3"/>
  <c r="G11" i="3"/>
  <c r="F11" i="3"/>
  <c r="H10" i="3"/>
  <c r="G10" i="3"/>
  <c r="F10" i="3"/>
  <c r="H9" i="3"/>
  <c r="G9" i="3"/>
  <c r="F9" i="3"/>
  <c r="H8" i="3"/>
  <c r="G8" i="3"/>
  <c r="F8" i="3"/>
  <c r="H7" i="3"/>
  <c r="G7" i="3"/>
  <c r="F7" i="3"/>
  <c r="H6" i="3"/>
  <c r="G6" i="3"/>
  <c r="F6" i="3"/>
  <c r="H5" i="3"/>
  <c r="G5" i="3"/>
  <c r="F5" i="3"/>
  <c r="H4" i="3"/>
  <c r="G4" i="3"/>
  <c r="F4" i="3"/>
  <c r="H3" i="3"/>
  <c r="G3" i="3"/>
  <c r="F3" i="3"/>
  <c r="H2" i="3"/>
  <c r="G2" i="3"/>
  <c r="F2" i="3"/>
</calcChain>
</file>

<file path=xl/sharedStrings.xml><?xml version="1.0" encoding="utf-8"?>
<sst xmlns="http://schemas.openxmlformats.org/spreadsheetml/2006/main" count="203" uniqueCount="38">
  <si>
    <t>Date</t>
  </si>
  <si>
    <t>Sales Person</t>
  </si>
  <si>
    <t>Region</t>
  </si>
  <si>
    <t>Product</t>
  </si>
  <si>
    <t>Units Sold</t>
  </si>
  <si>
    <t>Unit Price</t>
  </si>
  <si>
    <t>Cost of Goods</t>
  </si>
  <si>
    <t>Total Sales</t>
  </si>
  <si>
    <t>Andrew</t>
  </si>
  <si>
    <t>West</t>
  </si>
  <si>
    <t>Tent</t>
  </si>
  <si>
    <t>Grace</t>
  </si>
  <si>
    <t>East</t>
  </si>
  <si>
    <t>Blender</t>
  </si>
  <si>
    <t>Ella</t>
  </si>
  <si>
    <t>South</t>
  </si>
  <si>
    <t>Action Figure</t>
  </si>
  <si>
    <t>Cameron</t>
  </si>
  <si>
    <t>North</t>
  </si>
  <si>
    <t>Novel</t>
  </si>
  <si>
    <t>Megan</t>
  </si>
  <si>
    <t>Sneakers</t>
  </si>
  <si>
    <t>Carolyn</t>
  </si>
  <si>
    <t>Virginia</t>
  </si>
  <si>
    <t>Connor</t>
  </si>
  <si>
    <t>Anna</t>
  </si>
  <si>
    <t>Moisturizer</t>
  </si>
  <si>
    <t>Nicholas</t>
  </si>
  <si>
    <t>Smartphone</t>
  </si>
  <si>
    <t>Grand total</t>
  </si>
  <si>
    <t>Unit sold</t>
  </si>
  <si>
    <t>Total profit</t>
  </si>
  <si>
    <t>Average sales</t>
  </si>
  <si>
    <t>Profit</t>
  </si>
  <si>
    <t>Row Labels</t>
  </si>
  <si>
    <t>Grand Total</t>
  </si>
  <si>
    <t>Sum of Total Sales</t>
  </si>
  <si>
    <t>Sum of Units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</si>
</sst>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quot;Rs.&quot;\ * #,##0_ ;_ &quot;Rs.&quot;\ * \-#,##0_ ;_ &quot;Rs.&quot;\ * &quot;-&quot;_ ;_ @_ "/>
    <numFmt numFmtId="165" formatCode="&quot;₹&quot;\ #,##0.00"/>
  </numFmts>
  <fonts count="3" x14ac:knownFonts="1">
    <font>
      <sz val="11"/>
      <color theme="1"/>
      <name val="Aptos Narrow"/>
      <family val="2"/>
      <scheme val="minor"/>
    </font>
    <font>
      <sz val="11"/>
      <color theme="1"/>
      <name val="Aptos Narrow"/>
      <family val="2"/>
      <scheme val="minor"/>
    </font>
    <font>
      <sz val="11"/>
      <color theme="0"/>
      <name val="Aptos Narrow"/>
      <family val="2"/>
      <scheme val="minor"/>
    </font>
  </fonts>
  <fills count="3">
    <fill>
      <patternFill patternType="none"/>
    </fill>
    <fill>
      <patternFill patternType="gray125"/>
    </fill>
    <fill>
      <patternFill patternType="solid">
        <fgColor rgb="FF002060"/>
        <bgColor indexed="64"/>
      </patternFill>
    </fill>
  </fills>
  <borders count="2">
    <border>
      <left/>
      <right/>
      <top/>
      <bottom/>
      <diagonal/>
    </border>
    <border>
      <left/>
      <right/>
      <top/>
      <bottom style="thick">
        <color rgb="FFFFC000"/>
      </bottom>
      <diagonal/>
    </border>
  </borders>
  <cellStyleXfs count="2">
    <xf numFmtId="0" fontId="0" fillId="0" borderId="0"/>
    <xf numFmtId="164" fontId="1" fillId="0" borderId="0" applyFont="0" applyFill="0" applyBorder="0" applyAlignment="0" applyProtection="0"/>
  </cellStyleXfs>
  <cellXfs count="12">
    <xf numFmtId="0" fontId="0" fillId="0" borderId="0" xfId="0"/>
    <xf numFmtId="0" fontId="2" fillId="2" borderId="1" xfId="0" applyFont="1" applyFill="1" applyBorder="1" applyAlignment="1">
      <alignment horizontal="center" vertical="center"/>
    </xf>
    <xf numFmtId="14" fontId="0" fillId="0" borderId="0" xfId="0" applyNumberFormat="1" applyAlignment="1">
      <alignment horizontal="center"/>
    </xf>
    <xf numFmtId="0" fontId="0" fillId="0" borderId="0" xfId="0" applyAlignment="1">
      <alignment horizontal="left"/>
    </xf>
    <xf numFmtId="164" fontId="0" fillId="0" borderId="0" xfId="1" applyFont="1"/>
    <xf numFmtId="0" fontId="2" fillId="2" borderId="0" xfId="0" applyFont="1" applyFill="1" applyAlignment="1">
      <alignment horizontal="center" vertical="center"/>
    </xf>
    <xf numFmtId="164" fontId="0" fillId="0" borderId="0" xfId="0" applyNumberFormat="1"/>
    <xf numFmtId="0" fontId="0" fillId="0" borderId="0" xfId="0" pivotButton="1"/>
    <xf numFmtId="165" fontId="0" fillId="0" borderId="0" xfId="0" applyNumberFormat="1"/>
    <xf numFmtId="165" fontId="0" fillId="0" borderId="0" xfId="0" pivotButton="1" applyNumberFormat="1"/>
    <xf numFmtId="165" fontId="0" fillId="0" borderId="0" xfId="0" applyNumberFormat="1" applyAlignment="1">
      <alignment horizontal="left"/>
    </xf>
    <xf numFmtId="2" fontId="0" fillId="0" borderId="0" xfId="0" applyNumberFormat="1"/>
  </cellXfs>
  <cellStyles count="2">
    <cellStyle name="Currency [0]" xfId="1" builtinId="7"/>
    <cellStyle name="Normal" xfId="0" builtinId="0"/>
  </cellStyles>
  <dxfs count="20">
    <dxf>
      <numFmt numFmtId="164" formatCode="_ &quot;Rs.&quot;\ * #,##0_ ;_ &quot;Rs.&quot;\ * \-#,##0_ ;_ &quot;Rs.&quot;\ * &quot;-&quot;_ ;_ @_ "/>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alignment horizontal="left" vertical="bottom" textRotation="0" wrapText="0" indent="0" justifyLastLine="0" shrinkToFit="0" readingOrder="0"/>
    </dxf>
    <dxf>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0"/>
        <name val="Aptos Narrow"/>
        <family val="2"/>
        <scheme val="minor"/>
      </font>
      <fill>
        <patternFill patternType="solid">
          <fgColor indexed="64"/>
          <bgColor rgb="FF002060"/>
        </patternFill>
      </fill>
      <alignment horizontal="center" vertical="center" textRotation="0" wrapText="0" indent="0" justifyLastLine="0" shrinkToFit="0" readingOrder="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s>
  <tableStyles count="1" defaultTableStyle="TableStyleMedium2" defaultPivotStyle="PivotStyleLight16">
    <tableStyle name="Invisible" pivot="0" table="0" count="0" xr9:uid="{BDFCBA0C-0FAD-47E9-B8E0-311E6D44976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17/10/relationships/person" Target="persons/perso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.xlsx]Sheet2!PivotTable7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0833333333333334"/>
              <c:y val="-0.12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dLbl>
          <c:idx val="0"/>
          <c:layout>
            <c:manualLayout>
              <c:x val="-0.1583333333333333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dLbl>
          <c:idx val="0"/>
          <c:layout>
            <c:manualLayout>
              <c:x val="0.17165016436898875"/>
              <c:y val="8.032128514056224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056755260243632"/>
                  <c:h val="8.4716820036049717E-2"/>
                </c:manualLayout>
              </c15:layout>
            </c:ext>
          </c:extLst>
        </c:dLbl>
      </c:pivotFmt>
      <c:pivotFmt>
        <c:idx val="4"/>
        <c:spPr>
          <a:solidFill>
            <a:schemeClr val="accent3"/>
          </a:solidFill>
          <a:ln w="19050">
            <a:solidFill>
              <a:schemeClr val="lt1"/>
            </a:solidFill>
          </a:ln>
          <a:effectLst/>
        </c:spPr>
        <c:dLbl>
          <c:idx val="0"/>
          <c:layout>
            <c:manualLayout>
              <c:x val="-0.14396456256921375"/>
              <c:y val="8.924587237840250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0833333333333334"/>
              <c:y val="-0.12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7165016436898875"/>
              <c:y val="8.032128514056224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056755260243632"/>
                  <c:h val="8.4716820036049717E-2"/>
                </c:manualLayout>
              </c15:layout>
            </c:ext>
          </c:extLst>
        </c:dLbl>
      </c:pivotFmt>
      <c:pivotFmt>
        <c:idx val="8"/>
        <c:spPr>
          <a:solidFill>
            <a:schemeClr val="accent1"/>
          </a:solidFill>
          <a:ln w="19050">
            <a:solidFill>
              <a:schemeClr val="lt1"/>
            </a:solidFill>
          </a:ln>
          <a:effectLst/>
        </c:spPr>
        <c:dLbl>
          <c:idx val="0"/>
          <c:layout>
            <c:manualLayout>
              <c:x val="-0.14396456256921375"/>
              <c:y val="8.924587237840250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583333333333333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0833333333333334"/>
              <c:y val="-0.12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7165016436898875"/>
              <c:y val="8.032128514056224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056755260243632"/>
                  <c:h val="8.4716820036049717E-2"/>
                </c:manualLayout>
              </c15:layout>
            </c:ext>
          </c:extLst>
        </c:dLbl>
      </c:pivotFmt>
      <c:pivotFmt>
        <c:idx val="13"/>
        <c:spPr>
          <a:solidFill>
            <a:schemeClr val="accent1"/>
          </a:solidFill>
          <a:ln w="19050">
            <a:solidFill>
              <a:schemeClr val="lt1"/>
            </a:solidFill>
          </a:ln>
          <a:effectLst/>
        </c:spPr>
        <c:dLbl>
          <c:idx val="0"/>
          <c:layout>
            <c:manualLayout>
              <c:x val="-0.14396456256921375"/>
              <c:y val="8.924587237840250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583333333333333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Sheet2!$B$5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89D-435E-B5E8-C8B736B2B71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89D-435E-B5E8-C8B736B2B71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89D-435E-B5E8-C8B736B2B71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89D-435E-B5E8-C8B736B2B716}"/>
              </c:ext>
            </c:extLst>
          </c:dPt>
          <c:dLbls>
            <c:dLbl>
              <c:idx val="0"/>
              <c:layout>
                <c:manualLayout>
                  <c:x val="0.10833333333333334"/>
                  <c:y val="-0.1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9D-435E-B5E8-C8B736B2B716}"/>
                </c:ext>
              </c:extLst>
            </c:dLbl>
            <c:dLbl>
              <c:idx val="1"/>
              <c:layout>
                <c:manualLayout>
                  <c:x val="0.17165016436898875"/>
                  <c:y val="8.032128514056224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056755260243632"/>
                      <c:h val="8.4716820036049717E-2"/>
                    </c:manualLayout>
                  </c15:layout>
                </c:ext>
                <c:ext xmlns:c16="http://schemas.microsoft.com/office/drawing/2014/chart" uri="{C3380CC4-5D6E-409C-BE32-E72D297353CC}">
                  <c16:uniqueId val="{00000003-C89D-435E-B5E8-C8B736B2B716}"/>
                </c:ext>
              </c:extLst>
            </c:dLbl>
            <c:dLbl>
              <c:idx val="2"/>
              <c:layout>
                <c:manualLayout>
                  <c:x val="-0.14396456256921375"/>
                  <c:y val="8.92458723784025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9D-435E-B5E8-C8B736B2B716}"/>
                </c:ext>
              </c:extLst>
            </c:dLbl>
            <c:dLbl>
              <c:idx val="3"/>
              <c:layout>
                <c:manualLayout>
                  <c:x val="-0.15833333333333333"/>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89D-435E-B5E8-C8B736B2B71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Sheet2!$A$6:$A$10</c:f>
              <c:strCache>
                <c:ptCount val="4"/>
                <c:pt idx="0">
                  <c:v>East</c:v>
                </c:pt>
                <c:pt idx="1">
                  <c:v>North</c:v>
                </c:pt>
                <c:pt idx="2">
                  <c:v>South</c:v>
                </c:pt>
                <c:pt idx="3">
                  <c:v>West</c:v>
                </c:pt>
              </c:strCache>
            </c:strRef>
          </c:cat>
          <c:val>
            <c:numRef>
              <c:f>Sheet2!$B$6:$B$10</c:f>
              <c:numCache>
                <c:formatCode>_ "Rs."\ * #,##0_ ;_ "Rs."\ * \-#,##0_ ;_ "Rs."\ * "-"_ ;_ @_ </c:formatCode>
                <c:ptCount val="4"/>
                <c:pt idx="0">
                  <c:v>3534400</c:v>
                </c:pt>
                <c:pt idx="1">
                  <c:v>2661400</c:v>
                </c:pt>
                <c:pt idx="2">
                  <c:v>2870600</c:v>
                </c:pt>
                <c:pt idx="3">
                  <c:v>3878100</c:v>
                </c:pt>
              </c:numCache>
            </c:numRef>
          </c:val>
          <c:extLst>
            <c:ext xmlns:c16="http://schemas.microsoft.com/office/drawing/2014/chart" uri="{C3380CC4-5D6E-409C-BE32-E72D297353CC}">
              <c16:uniqueId val="{00000008-C89D-435E-B5E8-C8B736B2B71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.xlsx]Sheet2!PivotTable2</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accent3">
                <a:lumMod val="40000"/>
                <a:lumOff val="6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accent3">
                <a:lumMod val="40000"/>
                <a:lumOff val="6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accent3">
                <a:lumMod val="40000"/>
                <a:lumOff val="6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Sheet2!$E$7</c:f>
              <c:strCache>
                <c:ptCount val="1"/>
                <c:pt idx="0">
                  <c:v>Total</c:v>
                </c:pt>
              </c:strCache>
            </c:strRef>
          </c:tx>
          <c:spPr>
            <a:solidFill>
              <a:schemeClr val="accent1"/>
            </a:solidFill>
            <a:ln>
              <a:noFill/>
            </a:ln>
            <a:effectLst/>
          </c:spPr>
          <c:invertIfNegative val="0"/>
          <c:dLbls>
            <c:spPr>
              <a:solidFill>
                <a:schemeClr val="accent3">
                  <a:lumMod val="40000"/>
                  <a:lumOff val="6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Sheet2!$D$8:$D$15</c:f>
              <c:strCache>
                <c:ptCount val="7"/>
                <c:pt idx="0">
                  <c:v>Action Figure</c:v>
                </c:pt>
                <c:pt idx="1">
                  <c:v>Blender</c:v>
                </c:pt>
                <c:pt idx="2">
                  <c:v>Moisturizer</c:v>
                </c:pt>
                <c:pt idx="3">
                  <c:v>Novel</c:v>
                </c:pt>
                <c:pt idx="4">
                  <c:v>Smartphone</c:v>
                </c:pt>
                <c:pt idx="5">
                  <c:v>Sneakers</c:v>
                </c:pt>
                <c:pt idx="6">
                  <c:v>Tent</c:v>
                </c:pt>
              </c:strCache>
            </c:strRef>
          </c:cat>
          <c:val>
            <c:numRef>
              <c:f>Sheet2!$E$8:$E$15</c:f>
              <c:numCache>
                <c:formatCode>"₹"\ #,##0.00</c:formatCode>
                <c:ptCount val="7"/>
                <c:pt idx="0">
                  <c:v>547200</c:v>
                </c:pt>
                <c:pt idx="1">
                  <c:v>2222500</c:v>
                </c:pt>
                <c:pt idx="2">
                  <c:v>706800</c:v>
                </c:pt>
                <c:pt idx="3">
                  <c:v>898000</c:v>
                </c:pt>
                <c:pt idx="4">
                  <c:v>2350000</c:v>
                </c:pt>
                <c:pt idx="5">
                  <c:v>3196000</c:v>
                </c:pt>
                <c:pt idx="6">
                  <c:v>3024000</c:v>
                </c:pt>
              </c:numCache>
            </c:numRef>
          </c:val>
          <c:extLst>
            <c:ext xmlns:c16="http://schemas.microsoft.com/office/drawing/2014/chart" uri="{C3380CC4-5D6E-409C-BE32-E72D297353CC}">
              <c16:uniqueId val="{00000000-A80B-4C6D-A196-7DFC02B0C2D5}"/>
            </c:ext>
          </c:extLst>
        </c:ser>
        <c:dLbls>
          <c:dLblPos val="outEnd"/>
          <c:showLegendKey val="0"/>
          <c:showVal val="1"/>
          <c:showCatName val="0"/>
          <c:showSerName val="0"/>
          <c:showPercent val="0"/>
          <c:showBubbleSize val="0"/>
        </c:dLbls>
        <c:gapWidth val="182"/>
        <c:axId val="1833952879"/>
        <c:axId val="1565817999"/>
      </c:barChart>
      <c:catAx>
        <c:axId val="183395287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817999"/>
        <c:crosses val="autoZero"/>
        <c:auto val="1"/>
        <c:lblAlgn val="ctr"/>
        <c:lblOffset val="100"/>
        <c:noMultiLvlLbl val="0"/>
      </c:catAx>
      <c:valAx>
        <c:axId val="1565817999"/>
        <c:scaling>
          <c:orientation val="minMax"/>
        </c:scaling>
        <c:delete val="1"/>
        <c:axPos val="b"/>
        <c:majorGridlines>
          <c:spPr>
            <a:ln w="9525" cap="flat" cmpd="sng" algn="ctr">
              <a:solidFill>
                <a:schemeClr val="tx1">
                  <a:lumMod val="15000"/>
                  <a:lumOff val="85000"/>
                </a:schemeClr>
              </a:solidFill>
              <a:round/>
            </a:ln>
            <a:effectLst/>
          </c:spPr>
        </c:majorGridlines>
        <c:numFmt formatCode="&quot;₹&quot;\ #,##0.00" sourceLinked="1"/>
        <c:majorTickMark val="out"/>
        <c:minorTickMark val="none"/>
        <c:tickLblPos val="nextTo"/>
        <c:crossAx val="1833952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glow>
        <a:schemeClr val="accent1">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.xlsx]Sheet2!PivotTable4</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rgbClr val="C0CF3A">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c:spPr>
        <c:marker>
          <c:symbol val="none"/>
        </c:marker>
        <c:dLbl>
          <c:idx val="0"/>
          <c:spPr>
            <a:solidFill>
              <a:srgbClr val="C0CF3A">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c:spPr>
        <c:marker>
          <c:symbol val="none"/>
        </c:marker>
        <c:dLbl>
          <c:idx val="0"/>
          <c:spPr>
            <a:solidFill>
              <a:srgbClr val="C0CF3A">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Sheet2!$H$11</c:f>
              <c:strCache>
                <c:ptCount val="1"/>
                <c:pt idx="0">
                  <c:v>Total</c:v>
                </c:pt>
              </c:strCache>
            </c:strRef>
          </c:tx>
          <c:spPr>
            <a:solidFill>
              <a:schemeClr val="accent1"/>
            </a:solidFill>
            <a:ln>
              <a:noFill/>
            </a:ln>
            <a:effectLst/>
          </c:spPr>
          <c:invertIfNegative val="0"/>
          <c:dLbls>
            <c:spPr>
              <a:solidFill>
                <a:srgbClr val="C0CF3A">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Sheet2!$G$12:$G$22</c:f>
              <c:strCache>
                <c:ptCount val="10"/>
                <c:pt idx="0">
                  <c:v>Andrew</c:v>
                </c:pt>
                <c:pt idx="1">
                  <c:v>Anna</c:v>
                </c:pt>
                <c:pt idx="2">
                  <c:v>Cameron</c:v>
                </c:pt>
                <c:pt idx="3">
                  <c:v>Carolyn</c:v>
                </c:pt>
                <c:pt idx="4">
                  <c:v>Connor</c:v>
                </c:pt>
                <c:pt idx="5">
                  <c:v>Ella</c:v>
                </c:pt>
                <c:pt idx="6">
                  <c:v>Grace</c:v>
                </c:pt>
                <c:pt idx="7">
                  <c:v>Megan</c:v>
                </c:pt>
                <c:pt idx="8">
                  <c:v>Nicholas</c:v>
                </c:pt>
                <c:pt idx="9">
                  <c:v>Virginia</c:v>
                </c:pt>
              </c:strCache>
            </c:strRef>
          </c:cat>
          <c:val>
            <c:numRef>
              <c:f>Sheet2!$H$12:$H$22</c:f>
              <c:numCache>
                <c:formatCode>"₹"\ #,##0.00</c:formatCode>
                <c:ptCount val="10"/>
                <c:pt idx="0">
                  <c:v>1591600</c:v>
                </c:pt>
                <c:pt idx="1">
                  <c:v>677600</c:v>
                </c:pt>
                <c:pt idx="2">
                  <c:v>1957000</c:v>
                </c:pt>
                <c:pt idx="3">
                  <c:v>1661400</c:v>
                </c:pt>
                <c:pt idx="4">
                  <c:v>1741200</c:v>
                </c:pt>
                <c:pt idx="5">
                  <c:v>1110000</c:v>
                </c:pt>
                <c:pt idx="6">
                  <c:v>1777400</c:v>
                </c:pt>
                <c:pt idx="7">
                  <c:v>1065400</c:v>
                </c:pt>
                <c:pt idx="8">
                  <c:v>784400</c:v>
                </c:pt>
                <c:pt idx="9">
                  <c:v>578500</c:v>
                </c:pt>
              </c:numCache>
            </c:numRef>
          </c:val>
          <c:extLst>
            <c:ext xmlns:c16="http://schemas.microsoft.com/office/drawing/2014/chart" uri="{C3380CC4-5D6E-409C-BE32-E72D297353CC}">
              <c16:uniqueId val="{00000000-8653-4B07-9791-55629D3D1DF2}"/>
            </c:ext>
          </c:extLst>
        </c:ser>
        <c:dLbls>
          <c:dLblPos val="inEnd"/>
          <c:showLegendKey val="0"/>
          <c:showVal val="1"/>
          <c:showCatName val="0"/>
          <c:showSerName val="0"/>
          <c:showPercent val="0"/>
          <c:showBubbleSize val="0"/>
        </c:dLbls>
        <c:gapWidth val="219"/>
        <c:overlap val="-27"/>
        <c:axId val="1628434127"/>
        <c:axId val="1565814159"/>
      </c:barChart>
      <c:catAx>
        <c:axId val="1628434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814159"/>
        <c:crosses val="autoZero"/>
        <c:auto val="1"/>
        <c:lblAlgn val="ctr"/>
        <c:lblOffset val="100"/>
        <c:noMultiLvlLbl val="0"/>
      </c:catAx>
      <c:valAx>
        <c:axId val="1565814159"/>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8434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.xlsx]Sheet2!PivotTable5</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Sheet2!$K$15</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Sheet2!$J$16:$J$23</c:f>
              <c:strCache>
                <c:ptCount val="7"/>
                <c:pt idx="0">
                  <c:v>Action Figure</c:v>
                </c:pt>
                <c:pt idx="1">
                  <c:v>Blender</c:v>
                </c:pt>
                <c:pt idx="2">
                  <c:v>Moisturizer</c:v>
                </c:pt>
                <c:pt idx="3">
                  <c:v>Novel</c:v>
                </c:pt>
                <c:pt idx="4">
                  <c:v>Smartphone</c:v>
                </c:pt>
                <c:pt idx="5">
                  <c:v>Sneakers</c:v>
                </c:pt>
                <c:pt idx="6">
                  <c:v>Tent</c:v>
                </c:pt>
              </c:strCache>
            </c:strRef>
          </c:cat>
          <c:val>
            <c:numRef>
              <c:f>Sheet2!$K$16:$K$23</c:f>
              <c:numCache>
                <c:formatCode>General</c:formatCode>
                <c:ptCount val="7"/>
                <c:pt idx="0">
                  <c:v>456</c:v>
                </c:pt>
                <c:pt idx="1">
                  <c:v>635</c:v>
                </c:pt>
                <c:pt idx="2">
                  <c:v>1178</c:v>
                </c:pt>
                <c:pt idx="3">
                  <c:v>898</c:v>
                </c:pt>
                <c:pt idx="4">
                  <c:v>235</c:v>
                </c:pt>
                <c:pt idx="5">
                  <c:v>799</c:v>
                </c:pt>
                <c:pt idx="6">
                  <c:v>504</c:v>
                </c:pt>
              </c:numCache>
            </c:numRef>
          </c:val>
          <c:smooth val="0"/>
          <c:extLst>
            <c:ext xmlns:c16="http://schemas.microsoft.com/office/drawing/2014/chart" uri="{C3380CC4-5D6E-409C-BE32-E72D297353CC}">
              <c16:uniqueId val="{00000000-1D8C-4D8E-A90E-50A30F3576BE}"/>
            </c:ext>
          </c:extLst>
        </c:ser>
        <c:dLbls>
          <c:dLblPos val="t"/>
          <c:showLegendKey val="0"/>
          <c:showVal val="1"/>
          <c:showCatName val="0"/>
          <c:showSerName val="0"/>
          <c:showPercent val="0"/>
          <c:showBubbleSize val="0"/>
        </c:dLbls>
        <c:smooth val="0"/>
        <c:axId val="1756270367"/>
        <c:axId val="1565858319"/>
      </c:lineChart>
      <c:catAx>
        <c:axId val="1756270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858319"/>
        <c:crosses val="autoZero"/>
        <c:auto val="1"/>
        <c:lblAlgn val="ctr"/>
        <c:lblOffset val="100"/>
        <c:noMultiLvlLbl val="0"/>
      </c:catAx>
      <c:valAx>
        <c:axId val="15658583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70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.xlsx]Sheet2!PivotTable2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accent3">
                <a:lumMod val="40000"/>
                <a:lumOff val="6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Sheet2!$E$7</c:f>
              <c:strCache>
                <c:ptCount val="1"/>
                <c:pt idx="0">
                  <c:v>Total</c:v>
                </c:pt>
              </c:strCache>
            </c:strRef>
          </c:tx>
          <c:spPr>
            <a:solidFill>
              <a:schemeClr val="accent1"/>
            </a:solidFill>
            <a:ln>
              <a:noFill/>
            </a:ln>
            <a:effectLst/>
          </c:spPr>
          <c:invertIfNegative val="0"/>
          <c:dLbls>
            <c:spPr>
              <a:solidFill>
                <a:schemeClr val="accent3">
                  <a:lumMod val="40000"/>
                  <a:lumOff val="6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Sheet2!$D$8:$D$15</c:f>
              <c:strCache>
                <c:ptCount val="7"/>
                <c:pt idx="0">
                  <c:v>Action Figure</c:v>
                </c:pt>
                <c:pt idx="1">
                  <c:v>Blender</c:v>
                </c:pt>
                <c:pt idx="2">
                  <c:v>Moisturizer</c:v>
                </c:pt>
                <c:pt idx="3">
                  <c:v>Novel</c:v>
                </c:pt>
                <c:pt idx="4">
                  <c:v>Smartphone</c:v>
                </c:pt>
                <c:pt idx="5">
                  <c:v>Sneakers</c:v>
                </c:pt>
                <c:pt idx="6">
                  <c:v>Tent</c:v>
                </c:pt>
              </c:strCache>
            </c:strRef>
          </c:cat>
          <c:val>
            <c:numRef>
              <c:f>Sheet2!$E$8:$E$15</c:f>
              <c:numCache>
                <c:formatCode>"₹"\ #,##0.00</c:formatCode>
                <c:ptCount val="7"/>
                <c:pt idx="0">
                  <c:v>547200</c:v>
                </c:pt>
                <c:pt idx="1">
                  <c:v>2222500</c:v>
                </c:pt>
                <c:pt idx="2">
                  <c:v>706800</c:v>
                </c:pt>
                <c:pt idx="3">
                  <c:v>898000</c:v>
                </c:pt>
                <c:pt idx="4">
                  <c:v>2350000</c:v>
                </c:pt>
                <c:pt idx="5">
                  <c:v>3196000</c:v>
                </c:pt>
                <c:pt idx="6">
                  <c:v>3024000</c:v>
                </c:pt>
              </c:numCache>
            </c:numRef>
          </c:val>
          <c:extLst>
            <c:ext xmlns:c16="http://schemas.microsoft.com/office/drawing/2014/chart" uri="{C3380CC4-5D6E-409C-BE32-E72D297353CC}">
              <c16:uniqueId val="{00000000-8072-4E34-9911-9CA4FB101598}"/>
            </c:ext>
          </c:extLst>
        </c:ser>
        <c:dLbls>
          <c:dLblPos val="outEnd"/>
          <c:showLegendKey val="0"/>
          <c:showVal val="1"/>
          <c:showCatName val="0"/>
          <c:showSerName val="0"/>
          <c:showPercent val="0"/>
          <c:showBubbleSize val="0"/>
        </c:dLbls>
        <c:gapWidth val="182"/>
        <c:axId val="1833952879"/>
        <c:axId val="1565817999"/>
      </c:barChart>
      <c:catAx>
        <c:axId val="183395287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817999"/>
        <c:crosses val="autoZero"/>
        <c:auto val="1"/>
        <c:lblAlgn val="ctr"/>
        <c:lblOffset val="100"/>
        <c:noMultiLvlLbl val="0"/>
      </c:catAx>
      <c:valAx>
        <c:axId val="1565817999"/>
        <c:scaling>
          <c:orientation val="minMax"/>
        </c:scaling>
        <c:delete val="1"/>
        <c:axPos val="b"/>
        <c:majorGridlines>
          <c:spPr>
            <a:ln w="9525" cap="flat" cmpd="sng" algn="ctr">
              <a:solidFill>
                <a:schemeClr val="tx1">
                  <a:lumMod val="15000"/>
                  <a:lumOff val="85000"/>
                </a:schemeClr>
              </a:solidFill>
              <a:round/>
            </a:ln>
            <a:effectLst/>
          </c:spPr>
        </c:majorGridlines>
        <c:numFmt formatCode="&quot;₹&quot;\ #,##0.00" sourceLinked="1"/>
        <c:majorTickMark val="out"/>
        <c:minorTickMark val="none"/>
        <c:tickLblPos val="nextTo"/>
        <c:crossAx val="1833952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a:schemeClr val="accent1">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.xlsx]Sheet2!PivotTable4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rgbClr val="C0CF3A">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Sheet2!$H$11</c:f>
              <c:strCache>
                <c:ptCount val="1"/>
                <c:pt idx="0">
                  <c:v>Total</c:v>
                </c:pt>
              </c:strCache>
            </c:strRef>
          </c:tx>
          <c:spPr>
            <a:solidFill>
              <a:schemeClr val="accent1"/>
            </a:solidFill>
            <a:ln>
              <a:noFill/>
            </a:ln>
            <a:effectLst/>
          </c:spPr>
          <c:invertIfNegative val="0"/>
          <c:dLbls>
            <c:spPr>
              <a:solidFill>
                <a:srgbClr val="C0CF3A">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Sheet2!$G$12:$G$22</c:f>
              <c:strCache>
                <c:ptCount val="10"/>
                <c:pt idx="0">
                  <c:v>Andrew</c:v>
                </c:pt>
                <c:pt idx="1">
                  <c:v>Anna</c:v>
                </c:pt>
                <c:pt idx="2">
                  <c:v>Cameron</c:v>
                </c:pt>
                <c:pt idx="3">
                  <c:v>Carolyn</c:v>
                </c:pt>
                <c:pt idx="4">
                  <c:v>Connor</c:v>
                </c:pt>
                <c:pt idx="5">
                  <c:v>Ella</c:v>
                </c:pt>
                <c:pt idx="6">
                  <c:v>Grace</c:v>
                </c:pt>
                <c:pt idx="7">
                  <c:v>Megan</c:v>
                </c:pt>
                <c:pt idx="8">
                  <c:v>Nicholas</c:v>
                </c:pt>
                <c:pt idx="9">
                  <c:v>Virginia</c:v>
                </c:pt>
              </c:strCache>
            </c:strRef>
          </c:cat>
          <c:val>
            <c:numRef>
              <c:f>Sheet2!$H$12:$H$22</c:f>
              <c:numCache>
                <c:formatCode>"₹"\ #,##0.00</c:formatCode>
                <c:ptCount val="10"/>
                <c:pt idx="0">
                  <c:v>1591600</c:v>
                </c:pt>
                <c:pt idx="1">
                  <c:v>677600</c:v>
                </c:pt>
                <c:pt idx="2">
                  <c:v>1957000</c:v>
                </c:pt>
                <c:pt idx="3">
                  <c:v>1661400</c:v>
                </c:pt>
                <c:pt idx="4">
                  <c:v>1741200</c:v>
                </c:pt>
                <c:pt idx="5">
                  <c:v>1110000</c:v>
                </c:pt>
                <c:pt idx="6">
                  <c:v>1777400</c:v>
                </c:pt>
                <c:pt idx="7">
                  <c:v>1065400</c:v>
                </c:pt>
                <c:pt idx="8">
                  <c:v>784400</c:v>
                </c:pt>
                <c:pt idx="9">
                  <c:v>578500</c:v>
                </c:pt>
              </c:numCache>
            </c:numRef>
          </c:val>
          <c:extLst>
            <c:ext xmlns:c16="http://schemas.microsoft.com/office/drawing/2014/chart" uri="{C3380CC4-5D6E-409C-BE32-E72D297353CC}">
              <c16:uniqueId val="{00000000-79FC-4280-8322-E973992A8E91}"/>
            </c:ext>
          </c:extLst>
        </c:ser>
        <c:dLbls>
          <c:dLblPos val="inEnd"/>
          <c:showLegendKey val="0"/>
          <c:showVal val="1"/>
          <c:showCatName val="0"/>
          <c:showSerName val="0"/>
          <c:showPercent val="0"/>
          <c:showBubbleSize val="0"/>
        </c:dLbls>
        <c:gapWidth val="219"/>
        <c:overlap val="-27"/>
        <c:axId val="1628434127"/>
        <c:axId val="1565814159"/>
      </c:barChart>
      <c:catAx>
        <c:axId val="1628434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814159"/>
        <c:crosses val="autoZero"/>
        <c:auto val="1"/>
        <c:lblAlgn val="ctr"/>
        <c:lblOffset val="100"/>
        <c:noMultiLvlLbl val="0"/>
      </c:catAx>
      <c:valAx>
        <c:axId val="1565814159"/>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8434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.xlsx]Sheet2!PivotTable5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Sheet2!$K$15</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Sheet2!$J$16:$J$23</c:f>
              <c:strCache>
                <c:ptCount val="7"/>
                <c:pt idx="0">
                  <c:v>Action Figure</c:v>
                </c:pt>
                <c:pt idx="1">
                  <c:v>Blender</c:v>
                </c:pt>
                <c:pt idx="2">
                  <c:v>Moisturizer</c:v>
                </c:pt>
                <c:pt idx="3">
                  <c:v>Novel</c:v>
                </c:pt>
                <c:pt idx="4">
                  <c:v>Smartphone</c:v>
                </c:pt>
                <c:pt idx="5">
                  <c:v>Sneakers</c:v>
                </c:pt>
                <c:pt idx="6">
                  <c:v>Tent</c:v>
                </c:pt>
              </c:strCache>
            </c:strRef>
          </c:cat>
          <c:val>
            <c:numRef>
              <c:f>Sheet2!$K$16:$K$23</c:f>
              <c:numCache>
                <c:formatCode>General</c:formatCode>
                <c:ptCount val="7"/>
                <c:pt idx="0">
                  <c:v>456</c:v>
                </c:pt>
                <c:pt idx="1">
                  <c:v>635</c:v>
                </c:pt>
                <c:pt idx="2">
                  <c:v>1178</c:v>
                </c:pt>
                <c:pt idx="3">
                  <c:v>898</c:v>
                </c:pt>
                <c:pt idx="4">
                  <c:v>235</c:v>
                </c:pt>
                <c:pt idx="5">
                  <c:v>799</c:v>
                </c:pt>
                <c:pt idx="6">
                  <c:v>504</c:v>
                </c:pt>
              </c:numCache>
            </c:numRef>
          </c:val>
          <c:smooth val="0"/>
          <c:extLst>
            <c:ext xmlns:c16="http://schemas.microsoft.com/office/drawing/2014/chart" uri="{C3380CC4-5D6E-409C-BE32-E72D297353CC}">
              <c16:uniqueId val="{00000000-4253-42F1-9216-F93EBA03B2B0}"/>
            </c:ext>
          </c:extLst>
        </c:ser>
        <c:dLbls>
          <c:dLblPos val="t"/>
          <c:showLegendKey val="0"/>
          <c:showVal val="1"/>
          <c:showCatName val="0"/>
          <c:showSerName val="0"/>
          <c:showPercent val="0"/>
          <c:showBubbleSize val="0"/>
        </c:dLbls>
        <c:smooth val="0"/>
        <c:axId val="1756270367"/>
        <c:axId val="1565858319"/>
      </c:lineChart>
      <c:catAx>
        <c:axId val="1756270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858319"/>
        <c:crosses val="autoZero"/>
        <c:auto val="1"/>
        <c:lblAlgn val="ctr"/>
        <c:lblOffset val="100"/>
        <c:noMultiLvlLbl val="0"/>
      </c:catAx>
      <c:valAx>
        <c:axId val="15658583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70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.xlsx]Sheet2!PivotTable7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0833333333333334"/>
              <c:y val="-0.12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583333333333333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7165016436898875"/>
              <c:y val="8.032128514056224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056755260243632"/>
                  <c:h val="8.4716820036049717E-2"/>
                </c:manualLayout>
              </c15:layout>
            </c:ext>
          </c:extLst>
        </c:dLbl>
      </c:pivotFmt>
      <c:pivotFmt>
        <c:idx val="4"/>
        <c:spPr>
          <a:solidFill>
            <a:schemeClr val="accent1"/>
          </a:solidFill>
          <a:ln w="19050">
            <a:solidFill>
              <a:schemeClr val="lt1"/>
            </a:solidFill>
          </a:ln>
          <a:effectLst/>
        </c:spPr>
        <c:dLbl>
          <c:idx val="0"/>
          <c:layout>
            <c:manualLayout>
              <c:x val="-0.14396456256921375"/>
              <c:y val="8.924587237840250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Sheet2!$B$5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F671-4589-9712-75F1A6FCF72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F671-4589-9712-75F1A6FCF72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71-4589-9712-75F1A6FCF72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F671-4589-9712-75F1A6FCF72A}"/>
              </c:ext>
            </c:extLst>
          </c:dPt>
          <c:dLbls>
            <c:dLbl>
              <c:idx val="0"/>
              <c:layout>
                <c:manualLayout>
                  <c:x val="0.10833333333333334"/>
                  <c:y val="-0.1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671-4589-9712-75F1A6FCF72A}"/>
                </c:ext>
              </c:extLst>
            </c:dLbl>
            <c:dLbl>
              <c:idx val="1"/>
              <c:layout>
                <c:manualLayout>
                  <c:x val="0.17165016436898875"/>
                  <c:y val="8.032128514056224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056755260243632"/>
                      <c:h val="8.4716820036049717E-2"/>
                    </c:manualLayout>
                  </c15:layout>
                </c:ext>
                <c:ext xmlns:c16="http://schemas.microsoft.com/office/drawing/2014/chart" uri="{C3380CC4-5D6E-409C-BE32-E72D297353CC}">
                  <c16:uniqueId val="{00000004-F671-4589-9712-75F1A6FCF72A}"/>
                </c:ext>
              </c:extLst>
            </c:dLbl>
            <c:dLbl>
              <c:idx val="2"/>
              <c:layout>
                <c:manualLayout>
                  <c:x val="-0.14396456256921375"/>
                  <c:y val="8.92458723784025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671-4589-9712-75F1A6FCF72A}"/>
                </c:ext>
              </c:extLst>
            </c:dLbl>
            <c:dLbl>
              <c:idx val="3"/>
              <c:layout>
                <c:manualLayout>
                  <c:x val="-0.15833333333333333"/>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671-4589-9712-75F1A6FCF72A}"/>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Sheet2!$A$6:$A$10</c:f>
              <c:strCache>
                <c:ptCount val="4"/>
                <c:pt idx="0">
                  <c:v>East</c:v>
                </c:pt>
                <c:pt idx="1">
                  <c:v>North</c:v>
                </c:pt>
                <c:pt idx="2">
                  <c:v>South</c:v>
                </c:pt>
                <c:pt idx="3">
                  <c:v>West</c:v>
                </c:pt>
              </c:strCache>
            </c:strRef>
          </c:cat>
          <c:val>
            <c:numRef>
              <c:f>Sheet2!$B$6:$B$10</c:f>
              <c:numCache>
                <c:formatCode>_ "Rs."\ * #,##0_ ;_ "Rs."\ * \-#,##0_ ;_ "Rs."\ * "-"_ ;_ @_ </c:formatCode>
                <c:ptCount val="4"/>
                <c:pt idx="0">
                  <c:v>3534400</c:v>
                </c:pt>
                <c:pt idx="1">
                  <c:v>2661400</c:v>
                </c:pt>
                <c:pt idx="2">
                  <c:v>2870600</c:v>
                </c:pt>
                <c:pt idx="3">
                  <c:v>3878100</c:v>
                </c:pt>
              </c:numCache>
            </c:numRef>
          </c:val>
          <c:extLst>
            <c:ext xmlns:c16="http://schemas.microsoft.com/office/drawing/2014/chart" uri="{C3380CC4-5D6E-409C-BE32-E72D297353CC}">
              <c16:uniqueId val="{00000000-F671-4589-9712-75F1A6FCF72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121920</xdr:rowOff>
    </xdr:from>
    <xdr:to>
      <xdr:col>4</xdr:col>
      <xdr:colOff>350520</xdr:colOff>
      <xdr:row>9</xdr:row>
      <xdr:rowOff>38100</xdr:rowOff>
    </xdr:to>
    <xdr:grpSp>
      <xdr:nvGrpSpPr>
        <xdr:cNvPr id="10" name="Group 9">
          <a:extLst>
            <a:ext uri="{FF2B5EF4-FFF2-40B4-BE49-F238E27FC236}">
              <a16:creationId xmlns:a16="http://schemas.microsoft.com/office/drawing/2014/main" id="{244EC0C8-A764-D603-4379-8B3E54B9DCF7}"/>
            </a:ext>
          </a:extLst>
        </xdr:cNvPr>
        <xdr:cNvGrpSpPr/>
      </xdr:nvGrpSpPr>
      <xdr:grpSpPr>
        <a:xfrm>
          <a:off x="0" y="853440"/>
          <a:ext cx="2788920" cy="830580"/>
          <a:chOff x="0" y="853440"/>
          <a:chExt cx="2788920" cy="830580"/>
        </a:xfrm>
      </xdr:grpSpPr>
      <xdr:grpSp>
        <xdr:nvGrpSpPr>
          <xdr:cNvPr id="8" name="Group 7">
            <a:extLst>
              <a:ext uri="{FF2B5EF4-FFF2-40B4-BE49-F238E27FC236}">
                <a16:creationId xmlns:a16="http://schemas.microsoft.com/office/drawing/2014/main" id="{1F5A4B11-69F6-6AF9-0390-9D3C924D2975}"/>
              </a:ext>
            </a:extLst>
          </xdr:cNvPr>
          <xdr:cNvGrpSpPr/>
        </xdr:nvGrpSpPr>
        <xdr:grpSpPr>
          <a:xfrm>
            <a:off x="0" y="853440"/>
            <a:ext cx="2788920" cy="799200"/>
            <a:chOff x="0" y="861060"/>
            <a:chExt cx="2788920" cy="799200"/>
          </a:xfrm>
        </xdr:grpSpPr>
        <xdr:sp macro="" textlink="">
          <xdr:nvSpPr>
            <xdr:cNvPr id="3" name="Rectangle: Rounded Corners 2">
              <a:extLst>
                <a:ext uri="{FF2B5EF4-FFF2-40B4-BE49-F238E27FC236}">
                  <a16:creationId xmlns:a16="http://schemas.microsoft.com/office/drawing/2014/main" id="{484FE467-A28B-4177-816B-9D0251E3973A}"/>
                </a:ext>
              </a:extLst>
            </xdr:cNvPr>
            <xdr:cNvSpPr/>
          </xdr:nvSpPr>
          <xdr:spPr>
            <a:xfrm>
              <a:off x="0" y="861060"/>
              <a:ext cx="2788920" cy="7992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 name="TextBox 5">
              <a:extLst>
                <a:ext uri="{FF2B5EF4-FFF2-40B4-BE49-F238E27FC236}">
                  <a16:creationId xmlns:a16="http://schemas.microsoft.com/office/drawing/2014/main" id="{CAC05828-4EAE-2BA1-45E0-A6AA3125C081}"/>
                </a:ext>
              </a:extLst>
            </xdr:cNvPr>
            <xdr:cNvSpPr txBox="1"/>
          </xdr:nvSpPr>
          <xdr:spPr>
            <a:xfrm>
              <a:off x="1135380" y="960120"/>
              <a:ext cx="137922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accent6">
                      <a:lumMod val="75000"/>
                    </a:schemeClr>
                  </a:solidFill>
                </a:rPr>
                <a:t>TOTAL SALES</a:t>
              </a:r>
            </a:p>
          </xdr:txBody>
        </xdr:sp>
        <xdr:sp macro="" textlink="SalesData!J2">
          <xdr:nvSpPr>
            <xdr:cNvPr id="7" name="TextBox 6">
              <a:extLst>
                <a:ext uri="{FF2B5EF4-FFF2-40B4-BE49-F238E27FC236}">
                  <a16:creationId xmlns:a16="http://schemas.microsoft.com/office/drawing/2014/main" id="{4064FDB2-7768-3A60-4FD7-DA56820E47C3}"/>
                </a:ext>
              </a:extLst>
            </xdr:cNvPr>
            <xdr:cNvSpPr txBox="1"/>
          </xdr:nvSpPr>
          <xdr:spPr>
            <a:xfrm>
              <a:off x="1196340" y="1287780"/>
              <a:ext cx="1234440" cy="2590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7ED6D3B-7876-42A7-A7BF-B55C92F048D3}" type="TxLink">
                <a:rPr lang="en-US" sz="1800" b="0" i="0" u="none" strike="noStrike">
                  <a:solidFill>
                    <a:schemeClr val="accent6">
                      <a:lumMod val="75000"/>
                    </a:schemeClr>
                  </a:solidFill>
                  <a:latin typeface="Aptos Narrow"/>
                </a:rPr>
                <a:pPr/>
                <a:t>438000.00</a:t>
              </a:fld>
              <a:endParaRPr lang="en-IN" sz="1800">
                <a:solidFill>
                  <a:schemeClr val="accent6">
                    <a:lumMod val="75000"/>
                  </a:schemeClr>
                </a:solidFill>
              </a:endParaRPr>
            </a:p>
          </xdr:txBody>
        </xdr:sp>
      </xdr:grpSp>
      <xdr:sp macro="" textlink="">
        <xdr:nvSpPr>
          <xdr:cNvPr id="9" name="Rectangle: Rounded Corners 8">
            <a:extLst>
              <a:ext uri="{FF2B5EF4-FFF2-40B4-BE49-F238E27FC236}">
                <a16:creationId xmlns:a16="http://schemas.microsoft.com/office/drawing/2014/main" id="{E6C9E043-D496-4155-BA76-BB83D861584B}"/>
              </a:ext>
            </a:extLst>
          </xdr:cNvPr>
          <xdr:cNvSpPr/>
        </xdr:nvSpPr>
        <xdr:spPr>
          <a:xfrm rot="5400000">
            <a:off x="-72390" y="941070"/>
            <a:ext cx="830580" cy="655320"/>
          </a:xfrm>
          <a:prstGeom prst="roundRect">
            <a:avLst/>
          </a:prstGeom>
          <a:solidFill>
            <a:schemeClr val="accent6">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4</xdr:col>
      <xdr:colOff>350520</xdr:colOff>
      <xdr:row>4</xdr:row>
      <xdr:rowOff>129540</xdr:rowOff>
    </xdr:from>
    <xdr:to>
      <xdr:col>9</xdr:col>
      <xdr:colOff>92520</xdr:colOff>
      <xdr:row>9</xdr:row>
      <xdr:rowOff>15240</xdr:rowOff>
    </xdr:to>
    <xdr:grpSp>
      <xdr:nvGrpSpPr>
        <xdr:cNvPr id="23" name="Group 22">
          <a:extLst>
            <a:ext uri="{FF2B5EF4-FFF2-40B4-BE49-F238E27FC236}">
              <a16:creationId xmlns:a16="http://schemas.microsoft.com/office/drawing/2014/main" id="{CFF459F6-72CD-4E0D-AC2E-0AA858E5F6A4}"/>
            </a:ext>
          </a:extLst>
        </xdr:cNvPr>
        <xdr:cNvGrpSpPr/>
      </xdr:nvGrpSpPr>
      <xdr:grpSpPr>
        <a:xfrm>
          <a:off x="2788920" y="861060"/>
          <a:ext cx="2790000" cy="800100"/>
          <a:chOff x="0" y="853440"/>
          <a:chExt cx="2788920" cy="835200"/>
        </a:xfrm>
      </xdr:grpSpPr>
      <xdr:grpSp>
        <xdr:nvGrpSpPr>
          <xdr:cNvPr id="24" name="Group 23">
            <a:extLst>
              <a:ext uri="{FF2B5EF4-FFF2-40B4-BE49-F238E27FC236}">
                <a16:creationId xmlns:a16="http://schemas.microsoft.com/office/drawing/2014/main" id="{5F649685-ACAB-7E96-2683-1AC00C363976}"/>
              </a:ext>
            </a:extLst>
          </xdr:cNvPr>
          <xdr:cNvGrpSpPr/>
        </xdr:nvGrpSpPr>
        <xdr:grpSpPr>
          <a:xfrm>
            <a:off x="0" y="853440"/>
            <a:ext cx="2788920" cy="835200"/>
            <a:chOff x="0" y="861060"/>
            <a:chExt cx="2788920" cy="835200"/>
          </a:xfrm>
        </xdr:grpSpPr>
        <xdr:sp macro="" textlink="">
          <xdr:nvSpPr>
            <xdr:cNvPr id="26" name="Rectangle: Rounded Corners 25">
              <a:extLst>
                <a:ext uri="{FF2B5EF4-FFF2-40B4-BE49-F238E27FC236}">
                  <a16:creationId xmlns:a16="http://schemas.microsoft.com/office/drawing/2014/main" id="{EE024D4F-B23A-A5D7-C9A2-7E483637306D}"/>
                </a:ext>
              </a:extLst>
            </xdr:cNvPr>
            <xdr:cNvSpPr/>
          </xdr:nvSpPr>
          <xdr:spPr>
            <a:xfrm>
              <a:off x="0" y="861060"/>
              <a:ext cx="2788920" cy="8352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7" name="TextBox 26">
              <a:extLst>
                <a:ext uri="{FF2B5EF4-FFF2-40B4-BE49-F238E27FC236}">
                  <a16:creationId xmlns:a16="http://schemas.microsoft.com/office/drawing/2014/main" id="{24C3F186-9BA8-CF59-3D4C-A19D0DBC2D30}"/>
                </a:ext>
              </a:extLst>
            </xdr:cNvPr>
            <xdr:cNvSpPr txBox="1"/>
          </xdr:nvSpPr>
          <xdr:spPr>
            <a:xfrm>
              <a:off x="1135380" y="960120"/>
              <a:ext cx="137922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accent6">
                      <a:lumMod val="75000"/>
                    </a:schemeClr>
                  </a:solidFill>
                </a:rPr>
                <a:t>AVERAGE SALES</a:t>
              </a:r>
            </a:p>
          </xdr:txBody>
        </xdr:sp>
        <xdr:sp macro="" textlink="SalesData!J8">
          <xdr:nvSpPr>
            <xdr:cNvPr id="28" name="TextBox 27">
              <a:extLst>
                <a:ext uri="{FF2B5EF4-FFF2-40B4-BE49-F238E27FC236}">
                  <a16:creationId xmlns:a16="http://schemas.microsoft.com/office/drawing/2014/main" id="{32D808F4-7B2B-DEB3-0E31-04F6279CAC31}"/>
                </a:ext>
              </a:extLst>
            </xdr:cNvPr>
            <xdr:cNvSpPr txBox="1"/>
          </xdr:nvSpPr>
          <xdr:spPr>
            <a:xfrm>
              <a:off x="1196340" y="1250820"/>
              <a:ext cx="1234440" cy="2960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720D3BF-4FEE-4F80-B469-68A6B96DCEE3}" type="TxLink">
                <a:rPr lang="en-US" sz="1800" b="0" i="0" u="none" strike="noStrike">
                  <a:solidFill>
                    <a:schemeClr val="accent6">
                      <a:lumMod val="75000"/>
                    </a:schemeClr>
                  </a:solidFill>
                  <a:latin typeface="Aptos Narrow"/>
                </a:rPr>
                <a:pPr/>
                <a:t>438000.00</a:t>
              </a:fld>
              <a:endParaRPr lang="en-IN" sz="1800">
                <a:solidFill>
                  <a:schemeClr val="accent6">
                    <a:lumMod val="75000"/>
                  </a:schemeClr>
                </a:solidFill>
              </a:endParaRPr>
            </a:p>
          </xdr:txBody>
        </xdr:sp>
      </xdr:grpSp>
      <xdr:sp macro="" textlink="">
        <xdr:nvSpPr>
          <xdr:cNvPr id="25" name="Rectangle: Rounded Corners 24">
            <a:extLst>
              <a:ext uri="{FF2B5EF4-FFF2-40B4-BE49-F238E27FC236}">
                <a16:creationId xmlns:a16="http://schemas.microsoft.com/office/drawing/2014/main" id="{85C135A0-D0A4-388D-0F0D-FA37FB24CBB6}"/>
              </a:ext>
            </a:extLst>
          </xdr:cNvPr>
          <xdr:cNvSpPr/>
        </xdr:nvSpPr>
        <xdr:spPr>
          <a:xfrm rot="5400000">
            <a:off x="-87624" y="941070"/>
            <a:ext cx="830580" cy="655320"/>
          </a:xfrm>
          <a:prstGeom prst="roundRect">
            <a:avLst/>
          </a:prstGeom>
          <a:solidFill>
            <a:schemeClr val="accent6">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9</xdr:col>
      <xdr:colOff>91440</xdr:colOff>
      <xdr:row>4</xdr:row>
      <xdr:rowOff>106680</xdr:rowOff>
    </xdr:from>
    <xdr:to>
      <xdr:col>13</xdr:col>
      <xdr:colOff>441960</xdr:colOff>
      <xdr:row>9</xdr:row>
      <xdr:rowOff>27480</xdr:rowOff>
    </xdr:to>
    <xdr:grpSp>
      <xdr:nvGrpSpPr>
        <xdr:cNvPr id="29" name="Group 28">
          <a:extLst>
            <a:ext uri="{FF2B5EF4-FFF2-40B4-BE49-F238E27FC236}">
              <a16:creationId xmlns:a16="http://schemas.microsoft.com/office/drawing/2014/main" id="{3461FB96-0E88-40C4-A199-CD4EB196C26B}"/>
            </a:ext>
          </a:extLst>
        </xdr:cNvPr>
        <xdr:cNvGrpSpPr/>
      </xdr:nvGrpSpPr>
      <xdr:grpSpPr>
        <a:xfrm>
          <a:off x="5577840" y="838200"/>
          <a:ext cx="2788920" cy="835200"/>
          <a:chOff x="0" y="853440"/>
          <a:chExt cx="2788920" cy="835200"/>
        </a:xfrm>
      </xdr:grpSpPr>
      <xdr:grpSp>
        <xdr:nvGrpSpPr>
          <xdr:cNvPr id="30" name="Group 29">
            <a:extLst>
              <a:ext uri="{FF2B5EF4-FFF2-40B4-BE49-F238E27FC236}">
                <a16:creationId xmlns:a16="http://schemas.microsoft.com/office/drawing/2014/main" id="{5B961D03-12A8-2CB0-DAAA-8F1B1EF3736D}"/>
              </a:ext>
            </a:extLst>
          </xdr:cNvPr>
          <xdr:cNvGrpSpPr/>
        </xdr:nvGrpSpPr>
        <xdr:grpSpPr>
          <a:xfrm>
            <a:off x="0" y="853440"/>
            <a:ext cx="2788920" cy="835200"/>
            <a:chOff x="0" y="861060"/>
            <a:chExt cx="2788920" cy="835200"/>
          </a:xfrm>
        </xdr:grpSpPr>
        <xdr:sp macro="" textlink="">
          <xdr:nvSpPr>
            <xdr:cNvPr id="32" name="Rectangle: Rounded Corners 31">
              <a:extLst>
                <a:ext uri="{FF2B5EF4-FFF2-40B4-BE49-F238E27FC236}">
                  <a16:creationId xmlns:a16="http://schemas.microsoft.com/office/drawing/2014/main" id="{74FB5CD6-E4B5-46F9-1306-05462CDBA4BB}"/>
                </a:ext>
              </a:extLst>
            </xdr:cNvPr>
            <xdr:cNvSpPr/>
          </xdr:nvSpPr>
          <xdr:spPr>
            <a:xfrm>
              <a:off x="0" y="861060"/>
              <a:ext cx="2788920" cy="8352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3" name="TextBox 32">
              <a:extLst>
                <a:ext uri="{FF2B5EF4-FFF2-40B4-BE49-F238E27FC236}">
                  <a16:creationId xmlns:a16="http://schemas.microsoft.com/office/drawing/2014/main" id="{DFC7FCC9-4A54-5949-D3DB-7B0A30348195}"/>
                </a:ext>
              </a:extLst>
            </xdr:cNvPr>
            <xdr:cNvSpPr txBox="1"/>
          </xdr:nvSpPr>
          <xdr:spPr>
            <a:xfrm>
              <a:off x="1135380" y="960120"/>
              <a:ext cx="137922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accent6">
                      <a:lumMod val="75000"/>
                    </a:schemeClr>
                  </a:solidFill>
                </a:rPr>
                <a:t>UNIT</a:t>
              </a:r>
              <a:r>
                <a:rPr lang="en-IN" sz="1100" baseline="0">
                  <a:solidFill>
                    <a:schemeClr val="accent6">
                      <a:lumMod val="75000"/>
                    </a:schemeClr>
                  </a:solidFill>
                </a:rPr>
                <a:t> SOLD</a:t>
              </a:r>
              <a:endParaRPr lang="en-IN" sz="1100">
                <a:solidFill>
                  <a:schemeClr val="accent6">
                    <a:lumMod val="75000"/>
                  </a:schemeClr>
                </a:solidFill>
              </a:endParaRPr>
            </a:p>
          </xdr:txBody>
        </xdr:sp>
        <xdr:sp macro="" textlink="SalesData!J4">
          <xdr:nvSpPr>
            <xdr:cNvPr id="34" name="TextBox 33">
              <a:extLst>
                <a:ext uri="{FF2B5EF4-FFF2-40B4-BE49-F238E27FC236}">
                  <a16:creationId xmlns:a16="http://schemas.microsoft.com/office/drawing/2014/main" id="{4BCCF258-0477-3EE3-8764-149098E0DE79}"/>
                </a:ext>
              </a:extLst>
            </xdr:cNvPr>
            <xdr:cNvSpPr txBox="1"/>
          </xdr:nvSpPr>
          <xdr:spPr>
            <a:xfrm>
              <a:off x="1196340" y="1287780"/>
              <a:ext cx="1234440" cy="2590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D7C21B6-A66D-48C8-847D-F6BB79C4384F}" type="TxLink">
                <a:rPr lang="en-US" sz="1800" b="0" i="0" u="none" strike="noStrike">
                  <a:solidFill>
                    <a:schemeClr val="accent6">
                      <a:lumMod val="75000"/>
                    </a:schemeClr>
                  </a:solidFill>
                  <a:latin typeface="Aptos Narrow"/>
                </a:rPr>
                <a:pPr/>
                <a:t>73</a:t>
              </a:fld>
              <a:endParaRPr lang="en-IN" sz="1800">
                <a:solidFill>
                  <a:schemeClr val="accent6">
                    <a:lumMod val="75000"/>
                  </a:schemeClr>
                </a:solidFill>
              </a:endParaRPr>
            </a:p>
          </xdr:txBody>
        </xdr:sp>
      </xdr:grpSp>
      <xdr:sp macro="" textlink="">
        <xdr:nvSpPr>
          <xdr:cNvPr id="31" name="Rectangle: Rounded Corners 30">
            <a:extLst>
              <a:ext uri="{FF2B5EF4-FFF2-40B4-BE49-F238E27FC236}">
                <a16:creationId xmlns:a16="http://schemas.microsoft.com/office/drawing/2014/main" id="{0B64A792-3122-5894-359B-A8CD59317C73}"/>
              </a:ext>
            </a:extLst>
          </xdr:cNvPr>
          <xdr:cNvSpPr/>
        </xdr:nvSpPr>
        <xdr:spPr>
          <a:xfrm rot="5400000">
            <a:off x="-72390" y="941070"/>
            <a:ext cx="830580" cy="655320"/>
          </a:xfrm>
          <a:prstGeom prst="roundRect">
            <a:avLst/>
          </a:prstGeom>
          <a:solidFill>
            <a:schemeClr val="accent6">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13</xdr:col>
      <xdr:colOff>441960</xdr:colOff>
      <xdr:row>4</xdr:row>
      <xdr:rowOff>121920</xdr:rowOff>
    </xdr:from>
    <xdr:to>
      <xdr:col>18</xdr:col>
      <xdr:colOff>297180</xdr:colOff>
      <xdr:row>9</xdr:row>
      <xdr:rowOff>73200</xdr:rowOff>
    </xdr:to>
    <xdr:grpSp>
      <xdr:nvGrpSpPr>
        <xdr:cNvPr id="35" name="Group 34">
          <a:extLst>
            <a:ext uri="{FF2B5EF4-FFF2-40B4-BE49-F238E27FC236}">
              <a16:creationId xmlns:a16="http://schemas.microsoft.com/office/drawing/2014/main" id="{750305BC-152C-45FB-8A42-D7BC4921906F}"/>
            </a:ext>
          </a:extLst>
        </xdr:cNvPr>
        <xdr:cNvGrpSpPr/>
      </xdr:nvGrpSpPr>
      <xdr:grpSpPr>
        <a:xfrm>
          <a:off x="8366760" y="853440"/>
          <a:ext cx="2903220" cy="865680"/>
          <a:chOff x="15240" y="853440"/>
          <a:chExt cx="2903220" cy="865680"/>
        </a:xfrm>
      </xdr:grpSpPr>
      <xdr:grpSp>
        <xdr:nvGrpSpPr>
          <xdr:cNvPr id="36" name="Group 35">
            <a:extLst>
              <a:ext uri="{FF2B5EF4-FFF2-40B4-BE49-F238E27FC236}">
                <a16:creationId xmlns:a16="http://schemas.microsoft.com/office/drawing/2014/main" id="{56C975D2-B59A-3757-BF3B-2DFF57166316}"/>
              </a:ext>
            </a:extLst>
          </xdr:cNvPr>
          <xdr:cNvGrpSpPr/>
        </xdr:nvGrpSpPr>
        <xdr:grpSpPr>
          <a:xfrm>
            <a:off x="129540" y="883920"/>
            <a:ext cx="2788920" cy="835200"/>
            <a:chOff x="129540" y="891540"/>
            <a:chExt cx="2788920" cy="835200"/>
          </a:xfrm>
        </xdr:grpSpPr>
        <xdr:sp macro="" textlink="">
          <xdr:nvSpPr>
            <xdr:cNvPr id="38" name="Rectangle: Rounded Corners 37">
              <a:extLst>
                <a:ext uri="{FF2B5EF4-FFF2-40B4-BE49-F238E27FC236}">
                  <a16:creationId xmlns:a16="http://schemas.microsoft.com/office/drawing/2014/main" id="{203C3C21-C6F6-9B7F-8334-10E1B282399E}"/>
                </a:ext>
              </a:extLst>
            </xdr:cNvPr>
            <xdr:cNvSpPr/>
          </xdr:nvSpPr>
          <xdr:spPr>
            <a:xfrm>
              <a:off x="129540" y="891540"/>
              <a:ext cx="2788920" cy="8352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9" name="TextBox 38">
              <a:extLst>
                <a:ext uri="{FF2B5EF4-FFF2-40B4-BE49-F238E27FC236}">
                  <a16:creationId xmlns:a16="http://schemas.microsoft.com/office/drawing/2014/main" id="{AFD2D807-AFFF-92DA-91B4-E5E82EA13821}"/>
                </a:ext>
              </a:extLst>
            </xdr:cNvPr>
            <xdr:cNvSpPr txBox="1"/>
          </xdr:nvSpPr>
          <xdr:spPr>
            <a:xfrm>
              <a:off x="1135380" y="960120"/>
              <a:ext cx="137922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accent6">
                      <a:lumMod val="75000"/>
                    </a:schemeClr>
                  </a:solidFill>
                </a:rPr>
                <a:t>PROFIT</a:t>
              </a:r>
            </a:p>
            <a:p>
              <a:endParaRPr lang="en-IN" sz="1100">
                <a:solidFill>
                  <a:schemeClr val="accent6">
                    <a:lumMod val="75000"/>
                  </a:schemeClr>
                </a:solidFill>
              </a:endParaRPr>
            </a:p>
          </xdr:txBody>
        </xdr:sp>
        <xdr:sp macro="" textlink="SalesData!J6">
          <xdr:nvSpPr>
            <xdr:cNvPr id="40" name="TextBox 39">
              <a:extLst>
                <a:ext uri="{FF2B5EF4-FFF2-40B4-BE49-F238E27FC236}">
                  <a16:creationId xmlns:a16="http://schemas.microsoft.com/office/drawing/2014/main" id="{D227457E-94B4-1BBE-8E68-B00CFEB22047}"/>
                </a:ext>
              </a:extLst>
            </xdr:cNvPr>
            <xdr:cNvSpPr txBox="1"/>
          </xdr:nvSpPr>
          <xdr:spPr>
            <a:xfrm>
              <a:off x="1196340" y="1287780"/>
              <a:ext cx="1234440" cy="2590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AD0A528-CB08-431C-AFCC-A66F9F5921B1}" type="TxLink">
                <a:rPr lang="en-US" sz="1800" b="0" i="0" u="none" strike="noStrike">
                  <a:solidFill>
                    <a:schemeClr val="accent6">
                      <a:lumMod val="75000"/>
                    </a:schemeClr>
                  </a:solidFill>
                  <a:latin typeface="Aptos Narrow"/>
                </a:rPr>
                <a:pPr/>
                <a:t>146000.00</a:t>
              </a:fld>
              <a:endParaRPr lang="en-IN" sz="1800">
                <a:solidFill>
                  <a:schemeClr val="accent6">
                    <a:lumMod val="75000"/>
                  </a:schemeClr>
                </a:solidFill>
              </a:endParaRPr>
            </a:p>
          </xdr:txBody>
        </xdr:sp>
      </xdr:grpSp>
      <xdr:sp macro="" textlink="">
        <xdr:nvSpPr>
          <xdr:cNvPr id="37" name="Rectangle: Rounded Corners 36">
            <a:extLst>
              <a:ext uri="{FF2B5EF4-FFF2-40B4-BE49-F238E27FC236}">
                <a16:creationId xmlns:a16="http://schemas.microsoft.com/office/drawing/2014/main" id="{11605371-A566-238F-AF19-B788F88DEA24}"/>
              </a:ext>
            </a:extLst>
          </xdr:cNvPr>
          <xdr:cNvSpPr/>
        </xdr:nvSpPr>
        <xdr:spPr>
          <a:xfrm rot="5400000">
            <a:off x="-72390" y="941070"/>
            <a:ext cx="830580" cy="655320"/>
          </a:xfrm>
          <a:prstGeom prst="roundRect">
            <a:avLst/>
          </a:prstGeom>
          <a:solidFill>
            <a:schemeClr val="accent6">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editAs="oneCell">
    <xdr:from>
      <xdr:col>13</xdr:col>
      <xdr:colOff>426720</xdr:colOff>
      <xdr:row>5</xdr:row>
      <xdr:rowOff>7620</xdr:rowOff>
    </xdr:from>
    <xdr:to>
      <xdr:col>14</xdr:col>
      <xdr:colOff>485812</xdr:colOff>
      <xdr:row>9</xdr:row>
      <xdr:rowOff>2512</xdr:rowOff>
    </xdr:to>
    <xdr:pic>
      <xdr:nvPicPr>
        <xdr:cNvPr id="48" name="Graphic 47" descr="Bar graph with upward trend with solid fill">
          <a:extLst>
            <a:ext uri="{FF2B5EF4-FFF2-40B4-BE49-F238E27FC236}">
              <a16:creationId xmlns:a16="http://schemas.microsoft.com/office/drawing/2014/main" id="{F17DDE02-743B-A44F-65EE-69E6334071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351520" y="922020"/>
          <a:ext cx="668692" cy="726412"/>
        </a:xfrm>
        <a:prstGeom prst="rect">
          <a:avLst/>
        </a:prstGeom>
      </xdr:spPr>
    </xdr:pic>
    <xdr:clientData/>
  </xdr:twoCellAnchor>
  <xdr:twoCellAnchor editAs="oneCell">
    <xdr:from>
      <xdr:col>9</xdr:col>
      <xdr:colOff>45549</xdr:colOff>
      <xdr:row>5</xdr:row>
      <xdr:rowOff>38100</xdr:rowOff>
    </xdr:from>
    <xdr:to>
      <xdr:col>10</xdr:col>
      <xdr:colOff>177641</xdr:colOff>
      <xdr:row>9</xdr:row>
      <xdr:rowOff>48272</xdr:rowOff>
    </xdr:to>
    <xdr:pic>
      <xdr:nvPicPr>
        <xdr:cNvPr id="50" name="Graphic 49" descr="Books on shelf with solid fill">
          <a:extLst>
            <a:ext uri="{FF2B5EF4-FFF2-40B4-BE49-F238E27FC236}">
              <a16:creationId xmlns:a16="http://schemas.microsoft.com/office/drawing/2014/main" id="{253CCFA0-FA8B-1630-2D80-C88921ABC7F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531949" y="952500"/>
          <a:ext cx="741692" cy="741692"/>
        </a:xfrm>
        <a:prstGeom prst="rect">
          <a:avLst/>
        </a:prstGeom>
      </xdr:spPr>
    </xdr:pic>
    <xdr:clientData/>
  </xdr:twoCellAnchor>
  <xdr:twoCellAnchor editAs="oneCell">
    <xdr:from>
      <xdr:col>4</xdr:col>
      <xdr:colOff>340329</xdr:colOff>
      <xdr:row>5</xdr:row>
      <xdr:rowOff>77268</xdr:rowOff>
    </xdr:from>
    <xdr:to>
      <xdr:col>5</xdr:col>
      <xdr:colOff>389414</xdr:colOff>
      <xdr:row>8</xdr:row>
      <xdr:rowOff>45720</xdr:rowOff>
    </xdr:to>
    <xdr:pic>
      <xdr:nvPicPr>
        <xdr:cNvPr id="52" name="Graphic 51" descr="Coins with solid fill">
          <a:extLst>
            <a:ext uri="{FF2B5EF4-FFF2-40B4-BE49-F238E27FC236}">
              <a16:creationId xmlns:a16="http://schemas.microsoft.com/office/drawing/2014/main" id="{87F1AF9E-3FF6-A552-C85E-5E095493421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778729" y="991668"/>
          <a:ext cx="658685" cy="517092"/>
        </a:xfrm>
        <a:prstGeom prst="rect">
          <a:avLst/>
        </a:prstGeom>
      </xdr:spPr>
    </xdr:pic>
    <xdr:clientData/>
  </xdr:twoCellAnchor>
  <xdr:twoCellAnchor editAs="oneCell">
    <xdr:from>
      <xdr:col>0</xdr:col>
      <xdr:colOff>0</xdr:colOff>
      <xdr:row>4</xdr:row>
      <xdr:rowOff>137160</xdr:rowOff>
    </xdr:from>
    <xdr:to>
      <xdr:col>1</xdr:col>
      <xdr:colOff>83821</xdr:colOff>
      <xdr:row>9</xdr:row>
      <xdr:rowOff>20612</xdr:rowOff>
    </xdr:to>
    <xdr:pic>
      <xdr:nvPicPr>
        <xdr:cNvPr id="54" name="Graphic 53" descr="Dollar with solid fill">
          <a:extLst>
            <a:ext uri="{FF2B5EF4-FFF2-40B4-BE49-F238E27FC236}">
              <a16:creationId xmlns:a16="http://schemas.microsoft.com/office/drawing/2014/main" id="{F5ACAA4C-8ABF-A7A5-AC34-B7A8DAD00CF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0" y="868680"/>
          <a:ext cx="693421" cy="797852"/>
        </a:xfrm>
        <a:prstGeom prst="rect">
          <a:avLst/>
        </a:prstGeom>
      </xdr:spPr>
    </xdr:pic>
    <xdr:clientData/>
  </xdr:twoCellAnchor>
  <xdr:twoCellAnchor editAs="oneCell">
    <xdr:from>
      <xdr:col>18</xdr:col>
      <xdr:colOff>327660</xdr:colOff>
      <xdr:row>4</xdr:row>
      <xdr:rowOff>114300</xdr:rowOff>
    </xdr:from>
    <xdr:to>
      <xdr:col>21</xdr:col>
      <xdr:colOff>525780</xdr:colOff>
      <xdr:row>9</xdr:row>
      <xdr:rowOff>22860</xdr:rowOff>
    </xdr:to>
    <mc:AlternateContent xmlns:mc="http://schemas.openxmlformats.org/markup-compatibility/2006" xmlns:a14="http://schemas.microsoft.com/office/drawing/2010/main">
      <mc:Choice Requires="a14">
        <xdr:graphicFrame macro="">
          <xdr:nvGraphicFramePr>
            <xdr:cNvPr id="57" name="Region 1">
              <a:extLst>
                <a:ext uri="{FF2B5EF4-FFF2-40B4-BE49-F238E27FC236}">
                  <a16:creationId xmlns:a16="http://schemas.microsoft.com/office/drawing/2014/main" id="{2C7043D6-E21E-4CDB-A7DD-DD63CB2A993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1300460" y="845820"/>
              <a:ext cx="2026920" cy="822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7620</xdr:colOff>
      <xdr:row>9</xdr:row>
      <xdr:rowOff>45721</xdr:rowOff>
    </xdr:from>
    <xdr:to>
      <xdr:col>2</xdr:col>
      <xdr:colOff>259080</xdr:colOff>
      <xdr:row>22</xdr:row>
      <xdr:rowOff>0</xdr:rowOff>
    </xdr:to>
    <mc:AlternateContent xmlns:mc="http://schemas.openxmlformats.org/markup-compatibility/2006" xmlns:a14="http://schemas.microsoft.com/office/drawing/2010/main">
      <mc:Choice Requires="a14">
        <xdr:graphicFrame macro="">
          <xdr:nvGraphicFramePr>
            <xdr:cNvPr id="58" name="Sales Person 1">
              <a:extLst>
                <a:ext uri="{FF2B5EF4-FFF2-40B4-BE49-F238E27FC236}">
                  <a16:creationId xmlns:a16="http://schemas.microsoft.com/office/drawing/2014/main" id="{13735BCF-6790-4F77-8B96-F3D408FCFE31}"/>
                </a:ext>
              </a:extLst>
            </xdr:cNvPr>
            <xdr:cNvGraphicFramePr/>
          </xdr:nvGraphicFramePr>
          <xdr:xfrm>
            <a:off x="0" y="0"/>
            <a:ext cx="0" cy="0"/>
          </xdr:xfrm>
          <a:graphic>
            <a:graphicData uri="http://schemas.microsoft.com/office/drawing/2010/slicer">
              <sle:slicer xmlns:sle="http://schemas.microsoft.com/office/drawing/2010/slicer" name="Sales Person 1"/>
            </a:graphicData>
          </a:graphic>
        </xdr:graphicFrame>
      </mc:Choice>
      <mc:Fallback xmlns="">
        <xdr:sp macro="" textlink="">
          <xdr:nvSpPr>
            <xdr:cNvPr id="0" name=""/>
            <xdr:cNvSpPr>
              <a:spLocks noTextEdit="1"/>
            </xdr:cNvSpPr>
          </xdr:nvSpPr>
          <xdr:spPr>
            <a:xfrm>
              <a:off x="7620" y="1691641"/>
              <a:ext cx="1470660" cy="23317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22</xdr:row>
      <xdr:rowOff>0</xdr:rowOff>
    </xdr:from>
    <xdr:to>
      <xdr:col>2</xdr:col>
      <xdr:colOff>297180</xdr:colOff>
      <xdr:row>36</xdr:row>
      <xdr:rowOff>5715</xdr:rowOff>
    </xdr:to>
    <mc:AlternateContent xmlns:mc="http://schemas.openxmlformats.org/markup-compatibility/2006" xmlns:a14="http://schemas.microsoft.com/office/drawing/2010/main">
      <mc:Choice Requires="a14">
        <xdr:graphicFrame macro="">
          <xdr:nvGraphicFramePr>
            <xdr:cNvPr id="59" name="Product 1">
              <a:extLst>
                <a:ext uri="{FF2B5EF4-FFF2-40B4-BE49-F238E27FC236}">
                  <a16:creationId xmlns:a16="http://schemas.microsoft.com/office/drawing/2014/main" id="{CA93974C-D330-4C0A-A212-8D2ABEA5EC7A}"/>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0" y="4023360"/>
              <a:ext cx="1516380" cy="25660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30480</xdr:rowOff>
    </xdr:from>
    <xdr:to>
      <xdr:col>21</xdr:col>
      <xdr:colOff>388620</xdr:colOff>
      <xdr:row>4</xdr:row>
      <xdr:rowOff>99060</xdr:rowOff>
    </xdr:to>
    <xdr:sp macro="" textlink="">
      <xdr:nvSpPr>
        <xdr:cNvPr id="65" name="Rectangle: Rounded Corners 64">
          <a:extLst>
            <a:ext uri="{FF2B5EF4-FFF2-40B4-BE49-F238E27FC236}">
              <a16:creationId xmlns:a16="http://schemas.microsoft.com/office/drawing/2014/main" id="{15C8EF80-BC60-CA9A-DD74-BA85DE6F6443}"/>
            </a:ext>
          </a:extLst>
        </xdr:cNvPr>
        <xdr:cNvSpPr/>
      </xdr:nvSpPr>
      <xdr:spPr>
        <a:xfrm>
          <a:off x="0" y="30480"/>
          <a:ext cx="13190220" cy="8001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12</xdr:col>
      <xdr:colOff>259080</xdr:colOff>
      <xdr:row>9</xdr:row>
      <xdr:rowOff>53340</xdr:rowOff>
    </xdr:from>
    <xdr:to>
      <xdr:col>22</xdr:col>
      <xdr:colOff>114300</xdr:colOff>
      <xdr:row>23</xdr:row>
      <xdr:rowOff>38100</xdr:rowOff>
    </xdr:to>
    <xdr:sp macro="" textlink="">
      <xdr:nvSpPr>
        <xdr:cNvPr id="67" name="Rectangle: Rounded Corners 66">
          <a:extLst>
            <a:ext uri="{FF2B5EF4-FFF2-40B4-BE49-F238E27FC236}">
              <a16:creationId xmlns:a16="http://schemas.microsoft.com/office/drawing/2014/main" id="{4E03291C-483F-0EA2-3837-A30BEBD20706}"/>
            </a:ext>
          </a:extLst>
        </xdr:cNvPr>
        <xdr:cNvSpPr/>
      </xdr:nvSpPr>
      <xdr:spPr>
        <a:xfrm>
          <a:off x="7574280" y="1699260"/>
          <a:ext cx="5951220" cy="254508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12</xdr:col>
      <xdr:colOff>480060</xdr:colOff>
      <xdr:row>9</xdr:row>
      <xdr:rowOff>167640</xdr:rowOff>
    </xdr:from>
    <xdr:to>
      <xdr:col>21</xdr:col>
      <xdr:colOff>541020</xdr:colOff>
      <xdr:row>22</xdr:row>
      <xdr:rowOff>99060</xdr:rowOff>
    </xdr:to>
    <xdr:graphicFrame macro="">
      <xdr:nvGraphicFramePr>
        <xdr:cNvPr id="69" name="Chart 68">
          <a:extLst>
            <a:ext uri="{FF2B5EF4-FFF2-40B4-BE49-F238E27FC236}">
              <a16:creationId xmlns:a16="http://schemas.microsoft.com/office/drawing/2014/main" id="{D4B93A96-B844-4B55-8ADF-D0C64CB40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266700</xdr:colOff>
      <xdr:row>23</xdr:row>
      <xdr:rowOff>68580</xdr:rowOff>
    </xdr:from>
    <xdr:to>
      <xdr:col>12</xdr:col>
      <xdr:colOff>266700</xdr:colOff>
      <xdr:row>36</xdr:row>
      <xdr:rowOff>106680</xdr:rowOff>
    </xdr:to>
    <xdr:sp macro="" textlink="">
      <xdr:nvSpPr>
        <xdr:cNvPr id="70" name="Rectangle: Rounded Corners 69">
          <a:extLst>
            <a:ext uri="{FF2B5EF4-FFF2-40B4-BE49-F238E27FC236}">
              <a16:creationId xmlns:a16="http://schemas.microsoft.com/office/drawing/2014/main" id="{73816C6F-EA62-5E22-C646-BC1E3E8AB1D6}"/>
            </a:ext>
          </a:extLst>
        </xdr:cNvPr>
        <xdr:cNvSpPr/>
      </xdr:nvSpPr>
      <xdr:spPr>
        <a:xfrm>
          <a:off x="1485900" y="4274820"/>
          <a:ext cx="6096000" cy="241554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12</xdr:col>
      <xdr:colOff>327660</xdr:colOff>
      <xdr:row>23</xdr:row>
      <xdr:rowOff>60960</xdr:rowOff>
    </xdr:from>
    <xdr:to>
      <xdr:col>22</xdr:col>
      <xdr:colOff>228600</xdr:colOff>
      <xdr:row>36</xdr:row>
      <xdr:rowOff>22860</xdr:rowOff>
    </xdr:to>
    <xdr:sp macro="" textlink="">
      <xdr:nvSpPr>
        <xdr:cNvPr id="71" name="Rectangle: Rounded Corners 70">
          <a:extLst>
            <a:ext uri="{FF2B5EF4-FFF2-40B4-BE49-F238E27FC236}">
              <a16:creationId xmlns:a16="http://schemas.microsoft.com/office/drawing/2014/main" id="{3CC8B7CB-B7D6-D34F-46D4-287635FBBD1C}"/>
            </a:ext>
          </a:extLst>
        </xdr:cNvPr>
        <xdr:cNvSpPr/>
      </xdr:nvSpPr>
      <xdr:spPr>
        <a:xfrm>
          <a:off x="7642860" y="4267200"/>
          <a:ext cx="5996940" cy="233934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3</xdr:col>
      <xdr:colOff>121920</xdr:colOff>
      <xdr:row>24</xdr:row>
      <xdr:rowOff>68580</xdr:rowOff>
    </xdr:from>
    <xdr:to>
      <xdr:col>11</xdr:col>
      <xdr:colOff>487680</xdr:colOff>
      <xdr:row>35</xdr:row>
      <xdr:rowOff>38100</xdr:rowOff>
    </xdr:to>
    <xdr:graphicFrame macro="">
      <xdr:nvGraphicFramePr>
        <xdr:cNvPr id="72" name="Chart 71">
          <a:extLst>
            <a:ext uri="{FF2B5EF4-FFF2-40B4-BE49-F238E27FC236}">
              <a16:creationId xmlns:a16="http://schemas.microsoft.com/office/drawing/2014/main" id="{1B916021-8B73-4DA3-B9E0-E0B148CC55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30480</xdr:colOff>
      <xdr:row>24</xdr:row>
      <xdr:rowOff>0</xdr:rowOff>
    </xdr:from>
    <xdr:to>
      <xdr:col>21</xdr:col>
      <xdr:colOff>441960</xdr:colOff>
      <xdr:row>35</xdr:row>
      <xdr:rowOff>91440</xdr:rowOff>
    </xdr:to>
    <xdr:graphicFrame macro="">
      <xdr:nvGraphicFramePr>
        <xdr:cNvPr id="73" name="Chart 72">
          <a:extLst>
            <a:ext uri="{FF2B5EF4-FFF2-40B4-BE49-F238E27FC236}">
              <a16:creationId xmlns:a16="http://schemas.microsoft.com/office/drawing/2014/main" id="{EDB78868-4EAF-49B9-909D-9A07175CF6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388620</xdr:colOff>
      <xdr:row>0</xdr:row>
      <xdr:rowOff>91440</xdr:rowOff>
    </xdr:from>
    <xdr:to>
      <xdr:col>15</xdr:col>
      <xdr:colOff>22860</xdr:colOff>
      <xdr:row>3</xdr:row>
      <xdr:rowOff>144780</xdr:rowOff>
    </xdr:to>
    <xdr:sp macro="" textlink="">
      <xdr:nvSpPr>
        <xdr:cNvPr id="74" name="TextBox 73">
          <a:extLst>
            <a:ext uri="{FF2B5EF4-FFF2-40B4-BE49-F238E27FC236}">
              <a16:creationId xmlns:a16="http://schemas.microsoft.com/office/drawing/2014/main" id="{D4A25E97-59EC-6EF1-A990-0235D802F55C}"/>
            </a:ext>
          </a:extLst>
        </xdr:cNvPr>
        <xdr:cNvSpPr txBox="1"/>
      </xdr:nvSpPr>
      <xdr:spPr>
        <a:xfrm>
          <a:off x="3436620" y="91440"/>
          <a:ext cx="5730240" cy="6019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b="1">
              <a:solidFill>
                <a:schemeClr val="accent6">
                  <a:lumMod val="75000"/>
                </a:schemeClr>
              </a:solidFill>
              <a:latin typeface="Microsoft Sans Serif" panose="020B0604020202020204" pitchFamily="34" charset="0"/>
              <a:ea typeface="Microsoft Sans Serif" panose="020B0604020202020204" pitchFamily="34" charset="0"/>
              <a:cs typeface="Microsoft Sans Serif" panose="020B0604020202020204" pitchFamily="34" charset="0"/>
            </a:rPr>
            <a:t>Sales dashboard</a:t>
          </a:r>
          <a:r>
            <a:rPr lang="en-IN" sz="3600" b="1" baseline="0">
              <a:solidFill>
                <a:schemeClr val="accent6">
                  <a:lumMod val="75000"/>
                </a:schemeClr>
              </a:solidFill>
              <a:latin typeface="Microsoft Sans Serif" panose="020B0604020202020204" pitchFamily="34" charset="0"/>
              <a:ea typeface="Microsoft Sans Serif" panose="020B0604020202020204" pitchFamily="34" charset="0"/>
              <a:cs typeface="Microsoft Sans Serif" panose="020B0604020202020204" pitchFamily="34" charset="0"/>
            </a:rPr>
            <a:t> 2026</a:t>
          </a:r>
          <a:endParaRPr lang="en-IN" sz="3600" b="1">
            <a:solidFill>
              <a:schemeClr val="accent6">
                <a:lumMod val="75000"/>
              </a:schemeClr>
            </a:solidFill>
            <a:latin typeface="Microsoft Sans Serif" panose="020B0604020202020204" pitchFamily="34" charset="0"/>
            <a:ea typeface="Microsoft Sans Serif" panose="020B0604020202020204" pitchFamily="34" charset="0"/>
            <a:cs typeface="Microsoft Sans Serif" panose="020B0604020202020204" pitchFamily="34" charset="0"/>
          </a:endParaRPr>
        </a:p>
      </xdr:txBody>
    </xdr:sp>
    <xdr:clientData/>
  </xdr:twoCellAnchor>
  <xdr:twoCellAnchor>
    <xdr:from>
      <xdr:col>2</xdr:col>
      <xdr:colOff>274320</xdr:colOff>
      <xdr:row>9</xdr:row>
      <xdr:rowOff>30480</xdr:rowOff>
    </xdr:from>
    <xdr:to>
      <xdr:col>12</xdr:col>
      <xdr:colOff>259080</xdr:colOff>
      <xdr:row>23</xdr:row>
      <xdr:rowOff>45720</xdr:rowOff>
    </xdr:to>
    <xdr:sp macro="" textlink="">
      <xdr:nvSpPr>
        <xdr:cNvPr id="78" name="Rectangle: Rounded Corners 77">
          <a:extLst>
            <a:ext uri="{FF2B5EF4-FFF2-40B4-BE49-F238E27FC236}">
              <a16:creationId xmlns:a16="http://schemas.microsoft.com/office/drawing/2014/main" id="{AD50BE3B-E2D4-BE92-35AD-27FB32B9C39C}"/>
            </a:ext>
          </a:extLst>
        </xdr:cNvPr>
        <xdr:cNvSpPr/>
      </xdr:nvSpPr>
      <xdr:spPr>
        <a:xfrm>
          <a:off x="1493520" y="1676400"/>
          <a:ext cx="6080760" cy="257556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2</xdr:col>
      <xdr:colOff>586740</xdr:colOff>
      <xdr:row>10</xdr:row>
      <xdr:rowOff>7620</xdr:rowOff>
    </xdr:from>
    <xdr:to>
      <xdr:col>11</xdr:col>
      <xdr:colOff>525780</xdr:colOff>
      <xdr:row>22</xdr:row>
      <xdr:rowOff>152400</xdr:rowOff>
    </xdr:to>
    <xdr:graphicFrame macro="">
      <xdr:nvGraphicFramePr>
        <xdr:cNvPr id="79" name="Chart 78">
          <a:extLst>
            <a:ext uri="{FF2B5EF4-FFF2-40B4-BE49-F238E27FC236}">
              <a16:creationId xmlns:a16="http://schemas.microsoft.com/office/drawing/2014/main" id="{AE84FBD2-4D08-4A96-B713-563B7F5354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746760</xdr:colOff>
      <xdr:row>4</xdr:row>
      <xdr:rowOff>76200</xdr:rowOff>
    </xdr:from>
    <xdr:to>
      <xdr:col>18</xdr:col>
      <xdr:colOff>56760</xdr:colOff>
      <xdr:row>21</xdr:row>
      <xdr:rowOff>48997</xdr:rowOff>
    </xdr:to>
    <xdr:graphicFrame macro="">
      <xdr:nvGraphicFramePr>
        <xdr:cNvPr id="3" name="Chart 2">
          <a:extLst>
            <a:ext uri="{FF2B5EF4-FFF2-40B4-BE49-F238E27FC236}">
              <a16:creationId xmlns:a16="http://schemas.microsoft.com/office/drawing/2014/main" id="{32CE07A3-73C2-4A01-3A16-8A2DCC07B2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106680</xdr:colOff>
      <xdr:row>17</xdr:row>
      <xdr:rowOff>133350</xdr:rowOff>
    </xdr:from>
    <xdr:to>
      <xdr:col>6</xdr:col>
      <xdr:colOff>396240</xdr:colOff>
      <xdr:row>32</xdr:row>
      <xdr:rowOff>133350</xdr:rowOff>
    </xdr:to>
    <xdr:graphicFrame macro="">
      <xdr:nvGraphicFramePr>
        <xdr:cNvPr id="4" name="Chart 3">
          <a:extLst>
            <a:ext uri="{FF2B5EF4-FFF2-40B4-BE49-F238E27FC236}">
              <a16:creationId xmlns:a16="http://schemas.microsoft.com/office/drawing/2014/main" id="{5DA8804B-9D04-2695-0E00-080A702612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762000</xdr:colOff>
      <xdr:row>0</xdr:row>
      <xdr:rowOff>0</xdr:rowOff>
    </xdr:from>
    <xdr:to>
      <xdr:col>11</xdr:col>
      <xdr:colOff>601980</xdr:colOff>
      <xdr:row>15</xdr:row>
      <xdr:rowOff>0</xdr:rowOff>
    </xdr:to>
    <xdr:graphicFrame macro="">
      <xdr:nvGraphicFramePr>
        <xdr:cNvPr id="5" name="Chart 4">
          <a:extLst>
            <a:ext uri="{FF2B5EF4-FFF2-40B4-BE49-F238E27FC236}">
              <a16:creationId xmlns:a16="http://schemas.microsoft.com/office/drawing/2014/main" id="{C0DC11E9-131C-70C1-B527-980656AEFC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76200</xdr:colOff>
      <xdr:row>12</xdr:row>
      <xdr:rowOff>83820</xdr:rowOff>
    </xdr:from>
    <xdr:to>
      <xdr:col>7</xdr:col>
      <xdr:colOff>792480</xdr:colOff>
      <xdr:row>26</xdr:row>
      <xdr:rowOff>144780</xdr:rowOff>
    </xdr:to>
    <xdr:graphicFrame macro="">
      <xdr:nvGraphicFramePr>
        <xdr:cNvPr id="15" name="Chart 14">
          <a:extLst>
            <a:ext uri="{FF2B5EF4-FFF2-40B4-BE49-F238E27FC236}">
              <a16:creationId xmlns:a16="http://schemas.microsoft.com/office/drawing/2014/main" id="{96262977-B37F-8A1B-18A2-D8C343E23E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NESH KUMAR" refreshedDate="46250.802012731481" createdVersion="8" refreshedVersion="8" minRefreshableVersion="3" recordCount="50" xr:uid="{FD16BB2E-0451-480E-932E-5BC5905987B0}">
  <cacheSource type="worksheet">
    <worksheetSource name="Table1"/>
  </cacheSource>
  <cacheFields count="10">
    <cacheField name="Date" numFmtId="14">
      <sharedItems containsSemiMixedTypes="0" containsNonDate="0" containsDate="1" containsString="0" minDate="2020-05-07T00:00:00" maxDate="2021-12-22T00:00:00"/>
    </cacheField>
    <cacheField name="Sales Person" numFmtId="0">
      <sharedItems count="10">
        <s v="Andrew"/>
        <s v="Grace"/>
        <s v="Ella"/>
        <s v="Cameron"/>
        <s v="Megan"/>
        <s v="Carolyn"/>
        <s v="Virginia"/>
        <s v="Connor"/>
        <s v="Anna"/>
        <s v="Nicholas"/>
      </sharedItems>
    </cacheField>
    <cacheField name="Region" numFmtId="0">
      <sharedItems count="4">
        <s v="West"/>
        <s v="East"/>
        <s v="South"/>
        <s v="North"/>
      </sharedItems>
    </cacheField>
    <cacheField name="Product" numFmtId="0">
      <sharedItems count="7">
        <s v="Tent"/>
        <s v="Blender"/>
        <s v="Action Figure"/>
        <s v="Novel"/>
        <s v="Sneakers"/>
        <s v="Moisturizer"/>
        <s v="Smartphone"/>
      </sharedItems>
    </cacheField>
    <cacheField name="Units Sold" numFmtId="0">
      <sharedItems containsSemiMixedTypes="0" containsString="0" containsNumber="1" containsInteger="1" minValue="51" maxValue="149"/>
    </cacheField>
    <cacheField name="Unit Price" numFmtId="164">
      <sharedItems containsSemiMixedTypes="0" containsString="0" containsNumber="1" containsInteger="1" minValue="600" maxValue="10000"/>
    </cacheField>
    <cacheField name="Cost of Goods" numFmtId="164">
      <sharedItems containsSemiMixedTypes="0" containsString="0" containsNumber="1" containsInteger="1" minValue="400" maxValue="7000"/>
    </cacheField>
    <cacheField name="Total Sales" numFmtId="164">
      <sharedItems containsSemiMixedTypes="0" containsString="0" containsNumber="1" containsInteger="1" minValue="34200" maxValue="1270000"/>
    </cacheField>
    <cacheField name="Profit" numFmtId="164">
      <sharedItems containsSemiMixedTypes="0" containsString="0" containsNumber="1" containsInteger="1" minValue="11400" maxValue="381000"/>
    </cacheField>
    <cacheField name="Grand total" numFmtId="0">
      <sharedItems containsBlank="1" containsMixedTypes="1" containsNumber="1" containsInteger="1" minValue="73" maxValue="438000" count="7">
        <n v="438000"/>
        <s v="Unit sold"/>
        <n v="73"/>
        <s v="Total profit"/>
        <n v="146000"/>
        <s v="Average sales"/>
        <m/>
      </sharedItems>
    </cacheField>
  </cacheFields>
  <extLst>
    <ext xmlns:x14="http://schemas.microsoft.com/office/spreadsheetml/2009/9/main" uri="{725AE2AE-9491-48be-B2B4-4EB974FC3084}">
      <x14:pivotCacheDefinition pivotCacheId="5039440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d v="2021-02-19T00:00:00"/>
    <x v="0"/>
    <x v="0"/>
    <x v="0"/>
    <n v="84"/>
    <n v="6000"/>
    <n v="4000"/>
    <n v="504000"/>
    <n v="168000"/>
    <x v="0"/>
  </r>
  <r>
    <d v="2021-09-07T00:00:00"/>
    <x v="1"/>
    <x v="1"/>
    <x v="1"/>
    <n v="128"/>
    <n v="3500"/>
    <n v="2500"/>
    <n v="448000"/>
    <n v="128000"/>
    <x v="1"/>
  </r>
  <r>
    <d v="2021-02-03T00:00:00"/>
    <x v="2"/>
    <x v="2"/>
    <x v="2"/>
    <n v="136"/>
    <n v="1200"/>
    <n v="800"/>
    <n v="163200"/>
    <n v="54400"/>
    <x v="2"/>
  </r>
  <r>
    <d v="2020-09-11T00:00:00"/>
    <x v="3"/>
    <x v="3"/>
    <x v="3"/>
    <n v="91"/>
    <n v="1000"/>
    <n v="700"/>
    <n v="91000"/>
    <n v="27300"/>
    <x v="3"/>
  </r>
  <r>
    <d v="2021-09-23T00:00:00"/>
    <x v="4"/>
    <x v="0"/>
    <x v="4"/>
    <n v="110"/>
    <n v="4000"/>
    <n v="3000"/>
    <n v="440000"/>
    <n v="110000"/>
    <x v="4"/>
  </r>
  <r>
    <d v="2020-10-01T00:00:00"/>
    <x v="5"/>
    <x v="1"/>
    <x v="2"/>
    <n v="51"/>
    <n v="1200"/>
    <n v="800"/>
    <n v="61200"/>
    <n v="20400"/>
    <x v="5"/>
  </r>
  <r>
    <d v="2021-08-05T00:00:00"/>
    <x v="6"/>
    <x v="3"/>
    <x v="3"/>
    <n v="78"/>
    <n v="1000"/>
    <n v="700"/>
    <n v="78000"/>
    <n v="23400"/>
    <x v="0"/>
  </r>
  <r>
    <d v="2020-11-06T00:00:00"/>
    <x v="7"/>
    <x v="2"/>
    <x v="0"/>
    <n v="146"/>
    <n v="6000"/>
    <n v="4000"/>
    <n v="876000"/>
    <n v="292000"/>
    <x v="6"/>
  </r>
  <r>
    <d v="2021-01-27T00:00:00"/>
    <x v="8"/>
    <x v="0"/>
    <x v="5"/>
    <n v="101"/>
    <n v="600"/>
    <n v="400"/>
    <n v="60600"/>
    <n v="20200"/>
    <x v="6"/>
  </r>
  <r>
    <d v="2021-09-03T00:00:00"/>
    <x v="9"/>
    <x v="2"/>
    <x v="0"/>
    <n v="52"/>
    <n v="6000"/>
    <n v="4000"/>
    <n v="312000"/>
    <n v="104000"/>
    <x v="6"/>
  </r>
  <r>
    <d v="2021-09-30T00:00:00"/>
    <x v="9"/>
    <x v="1"/>
    <x v="2"/>
    <n v="55"/>
    <n v="1200"/>
    <n v="800"/>
    <n v="66000"/>
    <n v="22000"/>
    <x v="6"/>
  </r>
  <r>
    <d v="2020-09-10T00:00:00"/>
    <x v="9"/>
    <x v="2"/>
    <x v="3"/>
    <n v="137"/>
    <n v="1000"/>
    <n v="700"/>
    <n v="137000"/>
    <n v="41100"/>
    <x v="6"/>
  </r>
  <r>
    <d v="2021-07-27T00:00:00"/>
    <x v="7"/>
    <x v="2"/>
    <x v="1"/>
    <n v="96"/>
    <n v="3500"/>
    <n v="2500"/>
    <n v="336000"/>
    <n v="96000"/>
    <x v="6"/>
  </r>
  <r>
    <d v="2020-10-09T00:00:00"/>
    <x v="8"/>
    <x v="1"/>
    <x v="4"/>
    <n v="52"/>
    <n v="4000"/>
    <n v="3000"/>
    <n v="208000"/>
    <n v="52000"/>
    <x v="6"/>
  </r>
  <r>
    <d v="2021-04-06T00:00:00"/>
    <x v="3"/>
    <x v="0"/>
    <x v="1"/>
    <n v="76"/>
    <n v="3500"/>
    <n v="2500"/>
    <n v="266000"/>
    <n v="76000"/>
    <x v="6"/>
  </r>
  <r>
    <d v="2021-06-15T00:00:00"/>
    <x v="1"/>
    <x v="3"/>
    <x v="4"/>
    <n v="145"/>
    <n v="4000"/>
    <n v="3000"/>
    <n v="580000"/>
    <n v="145000"/>
    <x v="6"/>
  </r>
  <r>
    <d v="2020-09-09T00:00:00"/>
    <x v="0"/>
    <x v="2"/>
    <x v="5"/>
    <n v="83"/>
    <n v="600"/>
    <n v="400"/>
    <n v="49800"/>
    <n v="16600"/>
    <x v="6"/>
  </r>
  <r>
    <d v="2021-08-13T00:00:00"/>
    <x v="4"/>
    <x v="2"/>
    <x v="3"/>
    <n v="91"/>
    <n v="1000"/>
    <n v="700"/>
    <n v="91000"/>
    <n v="27300"/>
    <x v="6"/>
  </r>
  <r>
    <d v="2020-08-27T00:00:00"/>
    <x v="5"/>
    <x v="0"/>
    <x v="6"/>
    <n v="108"/>
    <n v="10000"/>
    <n v="7000"/>
    <n v="1080000"/>
    <n v="324000"/>
    <x v="6"/>
  </r>
  <r>
    <d v="2021-04-07T00:00:00"/>
    <x v="2"/>
    <x v="3"/>
    <x v="4"/>
    <n v="144"/>
    <n v="4000"/>
    <n v="3000"/>
    <n v="576000"/>
    <n v="144000"/>
    <x v="6"/>
  </r>
  <r>
    <d v="2020-06-08T00:00:00"/>
    <x v="4"/>
    <x v="2"/>
    <x v="5"/>
    <n v="92"/>
    <n v="600"/>
    <n v="400"/>
    <n v="55200"/>
    <n v="18400"/>
    <x v="6"/>
  </r>
  <r>
    <d v="2021-12-21T00:00:00"/>
    <x v="7"/>
    <x v="0"/>
    <x v="0"/>
    <n v="71"/>
    <n v="6000"/>
    <n v="4000"/>
    <n v="426000"/>
    <n v="142000"/>
    <x v="6"/>
  </r>
  <r>
    <d v="2021-08-10T00:00:00"/>
    <x v="0"/>
    <x v="1"/>
    <x v="5"/>
    <n v="103"/>
    <n v="600"/>
    <n v="400"/>
    <n v="61800"/>
    <n v="20600"/>
    <x v="6"/>
  </r>
  <r>
    <d v="2021-12-02T00:00:00"/>
    <x v="9"/>
    <x v="3"/>
    <x v="3"/>
    <n v="55"/>
    <n v="1000"/>
    <n v="700"/>
    <n v="55000"/>
    <n v="16500"/>
    <x v="6"/>
  </r>
  <r>
    <d v="2021-08-30T00:00:00"/>
    <x v="5"/>
    <x v="1"/>
    <x v="4"/>
    <n v="93"/>
    <n v="4000"/>
    <n v="3000"/>
    <n v="372000"/>
    <n v="93000"/>
    <x v="6"/>
  </r>
  <r>
    <d v="2020-05-20T00:00:00"/>
    <x v="2"/>
    <x v="2"/>
    <x v="5"/>
    <n v="143"/>
    <n v="600"/>
    <n v="400"/>
    <n v="85800"/>
    <n v="28600"/>
    <x v="6"/>
  </r>
  <r>
    <d v="2021-09-13T00:00:00"/>
    <x v="6"/>
    <x v="0"/>
    <x v="1"/>
    <n v="143"/>
    <n v="3500"/>
    <n v="2500"/>
    <n v="500500"/>
    <n v="143000"/>
    <x v="6"/>
  </r>
  <r>
    <d v="2021-10-27T00:00:00"/>
    <x v="8"/>
    <x v="3"/>
    <x v="5"/>
    <n v="99"/>
    <n v="600"/>
    <n v="400"/>
    <n v="59400"/>
    <n v="19800"/>
    <x v="6"/>
  </r>
  <r>
    <d v="2020-12-22T00:00:00"/>
    <x v="3"/>
    <x v="0"/>
    <x v="3"/>
    <n v="120"/>
    <n v="1000"/>
    <n v="700"/>
    <n v="120000"/>
    <n v="36000"/>
    <x v="6"/>
  </r>
  <r>
    <d v="2021-07-28T00:00:00"/>
    <x v="1"/>
    <x v="2"/>
    <x v="1"/>
    <n v="66"/>
    <n v="3500"/>
    <n v="2500"/>
    <n v="231000"/>
    <n v="66000"/>
    <x v="6"/>
  </r>
  <r>
    <d v="2020-09-29T00:00:00"/>
    <x v="8"/>
    <x v="3"/>
    <x v="2"/>
    <n v="88"/>
    <n v="1200"/>
    <n v="800"/>
    <n v="105600"/>
    <n v="35200"/>
    <x v="6"/>
  </r>
  <r>
    <d v="2020-10-22T00:00:00"/>
    <x v="3"/>
    <x v="1"/>
    <x v="6"/>
    <n v="127"/>
    <n v="10000"/>
    <n v="7000"/>
    <n v="1270000"/>
    <n v="381000"/>
    <x v="6"/>
  </r>
  <r>
    <d v="2020-05-19T00:00:00"/>
    <x v="4"/>
    <x v="0"/>
    <x v="4"/>
    <n v="67"/>
    <n v="4000"/>
    <n v="3000"/>
    <n v="268000"/>
    <n v="67000"/>
    <x v="6"/>
  </r>
  <r>
    <d v="2021-12-06T00:00:00"/>
    <x v="1"/>
    <x v="1"/>
    <x v="2"/>
    <n v="67"/>
    <n v="1200"/>
    <n v="800"/>
    <n v="80400"/>
    <n v="26800"/>
    <x v="6"/>
  </r>
  <r>
    <d v="2020-08-26T00:00:00"/>
    <x v="9"/>
    <x v="2"/>
    <x v="3"/>
    <n v="149"/>
    <n v="1000"/>
    <n v="700"/>
    <n v="149000"/>
    <n v="44700"/>
    <x v="6"/>
  </r>
  <r>
    <d v="2021-07-01T00:00:00"/>
    <x v="4"/>
    <x v="3"/>
    <x v="5"/>
    <n v="104"/>
    <n v="600"/>
    <n v="400"/>
    <n v="62400"/>
    <n v="20800"/>
    <x v="6"/>
  </r>
  <r>
    <d v="2021-07-27T00:00:00"/>
    <x v="7"/>
    <x v="0"/>
    <x v="5"/>
    <n v="57"/>
    <n v="600"/>
    <n v="400"/>
    <n v="34200"/>
    <n v="11400"/>
    <x v="6"/>
  </r>
  <r>
    <d v="2020-10-05T00:00:00"/>
    <x v="2"/>
    <x v="1"/>
    <x v="5"/>
    <n v="90"/>
    <n v="600"/>
    <n v="400"/>
    <n v="54000"/>
    <n v="18000"/>
    <x v="6"/>
  </r>
  <r>
    <d v="2020-09-02T00:00:00"/>
    <x v="5"/>
    <x v="2"/>
    <x v="5"/>
    <n v="67"/>
    <n v="600"/>
    <n v="400"/>
    <n v="40200"/>
    <n v="13400"/>
    <x v="6"/>
  </r>
  <r>
    <d v="2021-09-02T00:00:00"/>
    <x v="0"/>
    <x v="3"/>
    <x v="4"/>
    <n v="127"/>
    <n v="4000"/>
    <n v="3000"/>
    <n v="508000"/>
    <n v="127000"/>
    <x v="6"/>
  </r>
  <r>
    <d v="2021-04-13T00:00:00"/>
    <x v="5"/>
    <x v="0"/>
    <x v="3"/>
    <n v="108"/>
    <n v="1000"/>
    <n v="700"/>
    <n v="108000"/>
    <n v="32400"/>
    <x v="6"/>
  </r>
  <r>
    <d v="2021-05-06T00:00:00"/>
    <x v="2"/>
    <x v="1"/>
    <x v="1"/>
    <n v="66"/>
    <n v="3500"/>
    <n v="2500"/>
    <n v="231000"/>
    <n v="66000"/>
    <x v="6"/>
  </r>
  <r>
    <d v="2021-01-15T00:00:00"/>
    <x v="0"/>
    <x v="3"/>
    <x v="0"/>
    <n v="78"/>
    <n v="6000"/>
    <n v="4000"/>
    <n v="468000"/>
    <n v="156000"/>
    <x v="6"/>
  </r>
  <r>
    <d v="2020-08-27T00:00:00"/>
    <x v="7"/>
    <x v="2"/>
    <x v="3"/>
    <n v="69"/>
    <n v="1000"/>
    <n v="700"/>
    <n v="69000"/>
    <n v="20700"/>
    <x v="6"/>
  </r>
  <r>
    <d v="2021-02-05T00:00:00"/>
    <x v="4"/>
    <x v="0"/>
    <x v="2"/>
    <n v="59"/>
    <n v="1200"/>
    <n v="800"/>
    <n v="70800"/>
    <n v="23600"/>
    <x v="6"/>
  </r>
  <r>
    <d v="2021-11-17T00:00:00"/>
    <x v="9"/>
    <x v="2"/>
    <x v="5"/>
    <n v="109"/>
    <n v="600"/>
    <n v="400"/>
    <n v="65400"/>
    <n v="21800"/>
    <x v="6"/>
  </r>
  <r>
    <d v="2020-12-28T00:00:00"/>
    <x v="8"/>
    <x v="1"/>
    <x v="4"/>
    <n v="61"/>
    <n v="4000"/>
    <n v="3000"/>
    <n v="244000"/>
    <n v="61000"/>
    <x v="6"/>
  </r>
  <r>
    <d v="2021-10-27T00:00:00"/>
    <x v="4"/>
    <x v="3"/>
    <x v="5"/>
    <n v="130"/>
    <n v="600"/>
    <n v="400"/>
    <n v="78000"/>
    <n v="26000"/>
    <x v="6"/>
  </r>
  <r>
    <d v="2021-11-02T00:00:00"/>
    <x v="3"/>
    <x v="2"/>
    <x v="1"/>
    <n v="60"/>
    <n v="3500"/>
    <n v="2500"/>
    <n v="210000"/>
    <n v="60000"/>
    <x v="6"/>
  </r>
  <r>
    <d v="2020-05-07T00:00:00"/>
    <x v="1"/>
    <x v="1"/>
    <x v="0"/>
    <n v="73"/>
    <n v="6000"/>
    <n v="4000"/>
    <n v="438000"/>
    <n v="146000"/>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8DAB5E-CADB-4260-90C5-E7EF2B62F67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5:B10" firstHeaderRow="1" firstDataRow="1" firstDataCol="1"/>
  <pivotFields count="10">
    <pivotField numFmtId="14" showAll="0"/>
    <pivotField showAll="0">
      <items count="11">
        <item x="0"/>
        <item x="8"/>
        <item x="3"/>
        <item x="5"/>
        <item x="7"/>
        <item x="2"/>
        <item x="1"/>
        <item x="4"/>
        <item x="9"/>
        <item x="6"/>
        <item t="default"/>
      </items>
    </pivotField>
    <pivotField axis="axisRow" showAll="0">
      <items count="5">
        <item x="1"/>
        <item x="3"/>
        <item x="2"/>
        <item x="0"/>
        <item t="default"/>
      </items>
    </pivotField>
    <pivotField showAll="0">
      <items count="8">
        <item x="2"/>
        <item x="1"/>
        <item x="5"/>
        <item x="3"/>
        <item x="6"/>
        <item x="4"/>
        <item x="0"/>
        <item t="default"/>
      </items>
    </pivotField>
    <pivotField showAll="0"/>
    <pivotField numFmtId="164" showAll="0"/>
    <pivotField numFmtId="164" showAll="0"/>
    <pivotField dataField="1" numFmtId="164" showAll="0"/>
    <pivotField numFmtId="164" showAll="0"/>
    <pivotField showAll="0">
      <items count="8">
        <item x="2"/>
        <item x="4"/>
        <item x="0"/>
        <item x="5"/>
        <item x="3"/>
        <item x="1"/>
        <item x="6"/>
        <item t="default"/>
      </items>
    </pivotField>
  </pivotFields>
  <rowFields count="1">
    <field x="2"/>
  </rowFields>
  <rowItems count="5">
    <i>
      <x/>
    </i>
    <i>
      <x v="1"/>
    </i>
    <i>
      <x v="2"/>
    </i>
    <i>
      <x v="3"/>
    </i>
    <i t="grand">
      <x/>
    </i>
  </rowItems>
  <colItems count="1">
    <i/>
  </colItems>
  <dataFields count="1">
    <dataField name="Sum of Total Sales" fld="7" baseField="0" baseItem="0" numFmtId="164"/>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3"/>
          </reference>
        </references>
      </pivotArea>
    </chartFormat>
    <chartFormat chart="0" format="3">
      <pivotArea type="data" outline="0" fieldPosition="0">
        <references count="2">
          <reference field="4294967294" count="1" selected="0">
            <x v="0"/>
          </reference>
          <reference field="2" count="1" selected="0">
            <x v="1"/>
          </reference>
        </references>
      </pivotArea>
    </chartFormat>
    <chartFormat chart="0" format="4">
      <pivotArea type="data" outline="0" fieldPosition="0">
        <references count="2">
          <reference field="4294967294" count="1" selected="0">
            <x v="0"/>
          </reference>
          <reference field="2" count="1" selected="0">
            <x v="2"/>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2" count="1" selected="0">
            <x v="0"/>
          </reference>
        </references>
      </pivotArea>
    </chartFormat>
    <chartFormat chart="6" format="12">
      <pivotArea type="data" outline="0" fieldPosition="0">
        <references count="2">
          <reference field="4294967294" count="1" selected="0">
            <x v="0"/>
          </reference>
          <reference field="2" count="1" selected="0">
            <x v="1"/>
          </reference>
        </references>
      </pivotArea>
    </chartFormat>
    <chartFormat chart="6" format="13">
      <pivotArea type="data" outline="0" fieldPosition="0">
        <references count="2">
          <reference field="4294967294" count="1" selected="0">
            <x v="0"/>
          </reference>
          <reference field="2" count="1" selected="0">
            <x v="2"/>
          </reference>
        </references>
      </pivotArea>
    </chartFormat>
    <chartFormat chart="6" format="1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93650E5-B404-43DB-B089-55032EDC695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J15:K23" firstHeaderRow="1" firstDataRow="1" firstDataCol="1"/>
  <pivotFields count="10">
    <pivotField numFmtId="14" showAll="0"/>
    <pivotField showAll="0">
      <items count="11">
        <item x="0"/>
        <item x="8"/>
        <item x="3"/>
        <item x="5"/>
        <item x="7"/>
        <item x="2"/>
        <item x="1"/>
        <item x="4"/>
        <item x="9"/>
        <item x="6"/>
        <item t="default"/>
      </items>
    </pivotField>
    <pivotField showAll="0">
      <items count="5">
        <item x="1"/>
        <item x="3"/>
        <item x="2"/>
        <item x="0"/>
        <item t="default"/>
      </items>
    </pivotField>
    <pivotField axis="axisRow" showAll="0">
      <items count="8">
        <item x="2"/>
        <item x="1"/>
        <item x="5"/>
        <item x="3"/>
        <item x="6"/>
        <item x="4"/>
        <item x="0"/>
        <item t="default"/>
      </items>
    </pivotField>
    <pivotField dataField="1" showAll="0"/>
    <pivotField numFmtId="164" showAll="0"/>
    <pivotField numFmtId="164" showAll="0"/>
    <pivotField numFmtId="164" showAll="0"/>
    <pivotField numFmtId="164" showAll="0"/>
    <pivotField showAll="0"/>
  </pivotFields>
  <rowFields count="1">
    <field x="3"/>
  </rowFields>
  <rowItems count="8">
    <i>
      <x/>
    </i>
    <i>
      <x v="1"/>
    </i>
    <i>
      <x v="2"/>
    </i>
    <i>
      <x v="3"/>
    </i>
    <i>
      <x v="4"/>
    </i>
    <i>
      <x v="5"/>
    </i>
    <i>
      <x v="6"/>
    </i>
    <i t="grand">
      <x/>
    </i>
  </rowItems>
  <colItems count="1">
    <i/>
  </colItems>
  <dataFields count="1">
    <dataField name="Sum of Units Sold" fld="4" baseField="0" baseItem="0"/>
  </dataFields>
  <chartFormats count="5">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83A097-4CD5-43DF-9462-2978CCD4A6C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G11:H22" firstHeaderRow="1" firstDataRow="1" firstDataCol="1"/>
  <pivotFields count="10">
    <pivotField numFmtId="14" showAll="0"/>
    <pivotField axis="axisRow" showAll="0">
      <items count="11">
        <item x="0"/>
        <item x="8"/>
        <item x="3"/>
        <item x="5"/>
        <item x="7"/>
        <item x="2"/>
        <item x="1"/>
        <item x="4"/>
        <item x="9"/>
        <item x="6"/>
        <item t="default"/>
      </items>
    </pivotField>
    <pivotField showAll="0">
      <items count="5">
        <item x="1"/>
        <item x="3"/>
        <item x="2"/>
        <item x="0"/>
        <item t="default"/>
      </items>
    </pivotField>
    <pivotField showAll="0">
      <items count="8">
        <item x="2"/>
        <item x="1"/>
        <item x="5"/>
        <item x="3"/>
        <item x="6"/>
        <item x="4"/>
        <item x="0"/>
        <item t="default"/>
      </items>
    </pivotField>
    <pivotField showAll="0"/>
    <pivotField numFmtId="164" showAll="0"/>
    <pivotField numFmtId="164" showAll="0"/>
    <pivotField dataField="1" numFmtId="164" showAll="0"/>
    <pivotField numFmtId="164" showAll="0"/>
    <pivotField showAll="0"/>
  </pivotFields>
  <rowFields count="1">
    <field x="1"/>
  </rowFields>
  <rowItems count="11">
    <i>
      <x/>
    </i>
    <i>
      <x v="1"/>
    </i>
    <i>
      <x v="2"/>
    </i>
    <i>
      <x v="3"/>
    </i>
    <i>
      <x v="4"/>
    </i>
    <i>
      <x v="5"/>
    </i>
    <i>
      <x v="6"/>
    </i>
    <i>
      <x v="7"/>
    </i>
    <i>
      <x v="8"/>
    </i>
    <i>
      <x v="9"/>
    </i>
    <i t="grand">
      <x/>
    </i>
  </rowItems>
  <colItems count="1">
    <i/>
  </colItems>
  <dataFields count="1">
    <dataField name="Sum of Total Sales" fld="7" baseField="0" baseItem="0" numFmtId="165"/>
  </dataFields>
  <formats count="6">
    <format dxfId="13">
      <pivotArea type="all" dataOnly="0" outline="0" fieldPosition="0"/>
    </format>
    <format dxfId="12">
      <pivotArea outline="0" collapsedLevelsAreSubtotals="1" fieldPosition="0"/>
    </format>
    <format dxfId="11">
      <pivotArea field="1" type="button" dataOnly="0" labelOnly="1" outline="0" axis="axisRow" fieldPosition="0"/>
    </format>
    <format dxfId="10">
      <pivotArea dataOnly="0" labelOnly="1" fieldPosition="0">
        <references count="1">
          <reference field="1" count="0"/>
        </references>
      </pivotArea>
    </format>
    <format dxfId="9">
      <pivotArea dataOnly="0" labelOnly="1" grandRow="1" outline="0" fieldPosition="0"/>
    </format>
    <format dxfId="8">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E2E5AF5-5E63-432C-80D5-567036F8889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7:E15" firstHeaderRow="1" firstDataRow="1" firstDataCol="1"/>
  <pivotFields count="10">
    <pivotField numFmtId="14" showAll="0"/>
    <pivotField showAll="0">
      <items count="11">
        <item x="0"/>
        <item x="8"/>
        <item x="3"/>
        <item x="5"/>
        <item x="7"/>
        <item x="2"/>
        <item x="1"/>
        <item x="4"/>
        <item x="9"/>
        <item x="6"/>
        <item t="default"/>
      </items>
    </pivotField>
    <pivotField showAll="0">
      <items count="5">
        <item x="1"/>
        <item x="3"/>
        <item x="2"/>
        <item x="0"/>
        <item t="default"/>
      </items>
    </pivotField>
    <pivotField axis="axisRow" showAll="0">
      <items count="8">
        <item x="2"/>
        <item x="1"/>
        <item x="5"/>
        <item x="3"/>
        <item x="6"/>
        <item x="4"/>
        <item x="0"/>
        <item t="default"/>
      </items>
    </pivotField>
    <pivotField showAll="0"/>
    <pivotField numFmtId="164" showAll="0"/>
    <pivotField numFmtId="164" showAll="0"/>
    <pivotField dataField="1" numFmtId="164" showAll="0"/>
    <pivotField numFmtId="164" showAll="0"/>
    <pivotField showAll="0"/>
  </pivotFields>
  <rowFields count="1">
    <field x="3"/>
  </rowFields>
  <rowItems count="8">
    <i>
      <x/>
    </i>
    <i>
      <x v="1"/>
    </i>
    <i>
      <x v="2"/>
    </i>
    <i>
      <x v="3"/>
    </i>
    <i>
      <x v="4"/>
    </i>
    <i>
      <x v="5"/>
    </i>
    <i>
      <x v="6"/>
    </i>
    <i t="grand">
      <x/>
    </i>
  </rowItems>
  <colItems count="1">
    <i/>
  </colItems>
  <dataFields count="1">
    <dataField name="Sum of Total Sales" fld="7" baseField="0" baseItem="0" numFmtId="165"/>
  </dataFields>
  <formats count="6">
    <format dxfId="19">
      <pivotArea type="all" dataOnly="0" outline="0" fieldPosition="0"/>
    </format>
    <format dxfId="18">
      <pivotArea outline="0" collapsedLevelsAreSubtotals="1" fieldPosition="0"/>
    </format>
    <format dxfId="17">
      <pivotArea field="3" type="button" dataOnly="0" labelOnly="1" outline="0" axis="axisRow" fieldPosition="0"/>
    </format>
    <format dxfId="16">
      <pivotArea dataOnly="0" labelOnly="1" fieldPosition="0">
        <references count="1">
          <reference field="3" count="0"/>
        </references>
      </pivotArea>
    </format>
    <format dxfId="15">
      <pivotArea dataOnly="0" labelOnly="1" grandRow="1" outline="0" fieldPosition="0"/>
    </format>
    <format dxfId="14">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Person" xr10:uid="{AB3BAF3C-94BB-4C48-A5F2-429244FA124D}" sourceName="Sales Person">
  <pivotTables>
    <pivotTable tabId="4" name="PivotTable7"/>
    <pivotTable tabId="4" name="PivotTable2"/>
    <pivotTable tabId="4" name="PivotTable4"/>
    <pivotTable tabId="4" name="PivotTable5"/>
  </pivotTables>
  <data>
    <tabular pivotCacheId="503944085">
      <items count="10">
        <i x="0" s="1"/>
        <i x="8" s="1"/>
        <i x="3" s="1"/>
        <i x="5" s="1"/>
        <i x="7" s="1"/>
        <i x="2" s="1"/>
        <i x="1" s="1"/>
        <i x="4" s="1"/>
        <i x="9"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814DE31-4DAA-479B-8DA8-6774F9D40EC2}" sourceName="Region">
  <pivotTables>
    <pivotTable tabId="4" name="PivotTable7"/>
    <pivotTable tabId="4" name="PivotTable2"/>
    <pivotTable tabId="4" name="PivotTable4"/>
    <pivotTable tabId="4" name="PivotTable5"/>
  </pivotTables>
  <data>
    <tabular pivotCacheId="503944085">
      <items count="4">
        <i x="1" s="1"/>
        <i x="3" s="1"/>
        <i x="2" s="1"/>
        <i x="0"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D5C8111-DA8C-4590-85FA-DDDE3237D957}" sourceName="Product">
  <pivotTables>
    <pivotTable tabId="4" name="PivotTable7"/>
    <pivotTable tabId="4" name="PivotTable2"/>
    <pivotTable tabId="4" name="PivotTable4"/>
    <pivotTable tabId="4" name="PivotTable5"/>
  </pivotTables>
  <data>
    <tabular pivotCacheId="503944085">
      <items count="7">
        <i x="2" s="1"/>
        <i x="1" s="1"/>
        <i x="5" s="1"/>
        <i x="3" s="1"/>
        <i x="6" s="1"/>
        <i x="4"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Person 1" xr10:uid="{6D040AF0-F1A9-40F8-B68E-0A888C919FB6}" cache="Slicer_Sales_Person" caption="Sales Person" startItem="4" style="SlicerStyleDark6" rowHeight="247650"/>
  <slicer name="Region 1" xr10:uid="{A56F8F26-A803-4E44-86D5-3F9D58E2CFD1}" cache="Slicer_Region" caption="Region" columnCount="2" showCaption="0" style="SlicerStyleDark6" rowHeight="247650"/>
  <slicer name="Product 1" xr10:uid="{4327B43D-B42E-4F83-BFC0-7660290395EE}" cache="Slicer_Product" caption="Product" style="SlicerStyleDark6"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A97DC98-D798-457D-BFAC-AF0940F24957}" name="Table1" displayName="Table1" ref="A1:J51" totalsRowShown="0" headerRowDxfId="7" dataDxfId="6" dataCellStyle="Currency [0]">
  <autoFilter ref="A1:J51" xr:uid="{8A97DC98-D798-457D-BFAC-AF0940F24957}"/>
  <tableColumns count="10">
    <tableColumn id="1" xr3:uid="{1A366988-3E04-415B-939D-4DDC5384B8C5}" name="Date" dataDxfId="5"/>
    <tableColumn id="2" xr3:uid="{AF92902A-F403-468B-9976-0DC5F586A403}" name="Sales Person"/>
    <tableColumn id="3" xr3:uid="{FF8096FE-810E-4F9E-801E-520E334A3196}" name="Region"/>
    <tableColumn id="4" xr3:uid="{46364D17-89FE-4382-A926-C696D774BCA7}" name="Product"/>
    <tableColumn id="5" xr3:uid="{B25AC834-B107-4DD2-92FF-D47998D09D6E}" name="Units Sold" dataDxfId="4"/>
    <tableColumn id="6" xr3:uid="{7968988B-1D64-4969-984F-C4CEE2E27D80}" name="Unit Price" dataDxfId="3" dataCellStyle="Currency [0]">
      <calculatedColumnFormula>IF(D2="Tent",6000,IF(D2="Blender",3500,IF(D2="Action Figure",1200,IF(D2="Novel",1000,IF(D2="Sneakers",4000,IF(D2="Smartphone",10000,IF(D2="moisturizer",600,"No Product Found")))))))</calculatedColumnFormula>
    </tableColumn>
    <tableColumn id="7" xr3:uid="{2222B12B-77FB-479D-9641-CC732EA5BE26}" name="Cost of Goods" dataDxfId="2" dataCellStyle="Currency [0]">
      <calculatedColumnFormula>IF(D2="Tent",4000,IF(D2="Blender",2500,IF(D2="Action Figure",800,IF(D2="Novel",700,IF(D2="Sneakers",3000,IF(D2="Smartphone",7000,IF(D2="moisturizer",400,"No Product Found")))))))</calculatedColumnFormula>
    </tableColumn>
    <tableColumn id="8" xr3:uid="{E1BF5755-2D73-430E-92AD-33F9F809F87D}" name="Total Sales" dataDxfId="1" dataCellStyle="Currency [0]">
      <calculatedColumnFormula>F2*E2</calculatedColumnFormula>
    </tableColumn>
    <tableColumn id="9" xr3:uid="{1F472BB3-BCFF-4EC6-8308-1116D9B9596C}" name="Profit" dataDxfId="0">
      <calculatedColumnFormula>H2-(G2*E2)</calculatedColumnFormula>
    </tableColumn>
    <tableColumn id="10" xr3:uid="{D91FA276-C15F-4829-8018-F974E10A14C7}" name="Grand total"/>
  </tableColumns>
  <tableStyleInfo name="TableStyleMedium10" showFirstColumn="0" showLastColumn="0" showRowStripes="1" showColumnStripes="0"/>
</table>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8F99E5-AB8F-4BA4-BA16-C4C47E5CD32F}">
  <dimension ref="A1"/>
  <sheetViews>
    <sheetView workbookViewId="0">
      <selection activeCell="A7" sqref="A5:B1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F4630-FCC4-4A48-8BDC-1EEBA70FA388}">
  <dimension ref="A5:K23"/>
  <sheetViews>
    <sheetView workbookViewId="0">
      <selection activeCell="A7" sqref="A5:B10"/>
    </sheetView>
  </sheetViews>
  <sheetFormatPr defaultRowHeight="14.4" x14ac:dyDescent="0.3"/>
  <cols>
    <col min="1" max="1" width="12.44140625" bestFit="1" customWidth="1"/>
    <col min="2" max="2" width="16.109375" bestFit="1" customWidth="1"/>
    <col min="4" max="4" width="12.44140625" bestFit="1" customWidth="1"/>
    <col min="5" max="5" width="16.109375" bestFit="1" customWidth="1"/>
    <col min="7" max="7" width="12.44140625" bestFit="1" customWidth="1"/>
    <col min="8" max="8" width="16.109375" bestFit="1" customWidth="1"/>
    <col min="9" max="10" width="12.44140625" bestFit="1" customWidth="1"/>
    <col min="11" max="11" width="15.5546875" bestFit="1" customWidth="1"/>
  </cols>
  <sheetData>
    <row r="5" spans="1:11" x14ac:dyDescent="0.3">
      <c r="A5" s="7" t="s">
        <v>34</v>
      </c>
      <c r="B5" t="s">
        <v>36</v>
      </c>
    </row>
    <row r="6" spans="1:11" x14ac:dyDescent="0.3">
      <c r="A6" s="3" t="s">
        <v>12</v>
      </c>
      <c r="B6" s="6">
        <v>3534400</v>
      </c>
    </row>
    <row r="7" spans="1:11" x14ac:dyDescent="0.3">
      <c r="A7" s="3" t="s">
        <v>18</v>
      </c>
      <c r="B7" s="6">
        <v>2661400</v>
      </c>
      <c r="D7" s="9" t="s">
        <v>34</v>
      </c>
      <c r="E7" s="8" t="s">
        <v>36</v>
      </c>
    </row>
    <row r="8" spans="1:11" x14ac:dyDescent="0.3">
      <c r="A8" s="3" t="s">
        <v>15</v>
      </c>
      <c r="B8" s="6">
        <v>2870600</v>
      </c>
      <c r="D8" s="10" t="s">
        <v>16</v>
      </c>
      <c r="E8" s="8">
        <v>547200</v>
      </c>
    </row>
    <row r="9" spans="1:11" x14ac:dyDescent="0.3">
      <c r="A9" s="3" t="s">
        <v>9</v>
      </c>
      <c r="B9" s="6">
        <v>3878100</v>
      </c>
      <c r="D9" s="10" t="s">
        <v>13</v>
      </c>
      <c r="E9" s="8">
        <v>2222500</v>
      </c>
    </row>
    <row r="10" spans="1:11" x14ac:dyDescent="0.3">
      <c r="A10" s="3" t="s">
        <v>35</v>
      </c>
      <c r="B10" s="6">
        <v>12944500</v>
      </c>
      <c r="D10" s="10" t="s">
        <v>26</v>
      </c>
      <c r="E10" s="8">
        <v>706800</v>
      </c>
    </row>
    <row r="11" spans="1:11" x14ac:dyDescent="0.3">
      <c r="D11" s="10" t="s">
        <v>19</v>
      </c>
      <c r="E11" s="8">
        <v>898000</v>
      </c>
      <c r="G11" s="9" t="s">
        <v>34</v>
      </c>
      <c r="H11" s="8" t="s">
        <v>36</v>
      </c>
    </row>
    <row r="12" spans="1:11" x14ac:dyDescent="0.3">
      <c r="D12" s="10" t="s">
        <v>28</v>
      </c>
      <c r="E12" s="8">
        <v>2350000</v>
      </c>
      <c r="G12" s="10" t="s">
        <v>8</v>
      </c>
      <c r="H12" s="8">
        <v>1591600</v>
      </c>
    </row>
    <row r="13" spans="1:11" x14ac:dyDescent="0.3">
      <c r="D13" s="10" t="s">
        <v>21</v>
      </c>
      <c r="E13" s="8">
        <v>3196000</v>
      </c>
      <c r="G13" s="10" t="s">
        <v>25</v>
      </c>
      <c r="H13" s="8">
        <v>677600</v>
      </c>
    </row>
    <row r="14" spans="1:11" x14ac:dyDescent="0.3">
      <c r="D14" s="10" t="s">
        <v>10</v>
      </c>
      <c r="E14" s="8">
        <v>3024000</v>
      </c>
      <c r="G14" s="10" t="s">
        <v>17</v>
      </c>
      <c r="H14" s="8">
        <v>1957000</v>
      </c>
    </row>
    <row r="15" spans="1:11" x14ac:dyDescent="0.3">
      <c r="D15" s="10" t="s">
        <v>35</v>
      </c>
      <c r="E15" s="8">
        <v>12944500</v>
      </c>
      <c r="G15" s="10" t="s">
        <v>22</v>
      </c>
      <c r="H15" s="8">
        <v>1661400</v>
      </c>
      <c r="J15" s="7" t="s">
        <v>34</v>
      </c>
      <c r="K15" t="s">
        <v>37</v>
      </c>
    </row>
    <row r="16" spans="1:11" x14ac:dyDescent="0.3">
      <c r="G16" s="10" t="s">
        <v>24</v>
      </c>
      <c r="H16" s="8">
        <v>1741200</v>
      </c>
      <c r="J16" s="3" t="s">
        <v>16</v>
      </c>
      <c r="K16">
        <v>456</v>
      </c>
    </row>
    <row r="17" spans="7:11" x14ac:dyDescent="0.3">
      <c r="G17" s="10" t="s">
        <v>14</v>
      </c>
      <c r="H17" s="8">
        <v>1110000</v>
      </c>
      <c r="J17" s="3" t="s">
        <v>13</v>
      </c>
      <c r="K17">
        <v>635</v>
      </c>
    </row>
    <row r="18" spans="7:11" x14ac:dyDescent="0.3">
      <c r="G18" s="10" t="s">
        <v>11</v>
      </c>
      <c r="H18" s="8">
        <v>1777400</v>
      </c>
      <c r="J18" s="3" t="s">
        <v>26</v>
      </c>
      <c r="K18">
        <v>1178</v>
      </c>
    </row>
    <row r="19" spans="7:11" x14ac:dyDescent="0.3">
      <c r="G19" s="10" t="s">
        <v>20</v>
      </c>
      <c r="H19" s="8">
        <v>1065400</v>
      </c>
      <c r="J19" s="3" t="s">
        <v>19</v>
      </c>
      <c r="K19">
        <v>898</v>
      </c>
    </row>
    <row r="20" spans="7:11" x14ac:dyDescent="0.3">
      <c r="G20" s="10" t="s">
        <v>27</v>
      </c>
      <c r="H20" s="8">
        <v>784400</v>
      </c>
      <c r="J20" s="3" t="s">
        <v>28</v>
      </c>
      <c r="K20">
        <v>235</v>
      </c>
    </row>
    <row r="21" spans="7:11" x14ac:dyDescent="0.3">
      <c r="G21" s="10" t="s">
        <v>23</v>
      </c>
      <c r="H21" s="8">
        <v>578500</v>
      </c>
      <c r="J21" s="3" t="s">
        <v>21</v>
      </c>
      <c r="K21">
        <v>799</v>
      </c>
    </row>
    <row r="22" spans="7:11" x14ac:dyDescent="0.3">
      <c r="G22" s="10" t="s">
        <v>35</v>
      </c>
      <c r="H22" s="8">
        <v>12944500</v>
      </c>
      <c r="J22" s="3" t="s">
        <v>10</v>
      </c>
      <c r="K22">
        <v>504</v>
      </c>
    </row>
    <row r="23" spans="7:11" x14ac:dyDescent="0.3">
      <c r="J23" s="3" t="s">
        <v>35</v>
      </c>
      <c r="K23">
        <v>4705</v>
      </c>
    </row>
  </sheetData>
  <pageMargins left="0.7" right="0.7" top="0.75" bottom="0.75" header="0.3" footer="0.3"/>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CB3DF-9E1D-4E87-B39C-21F41FB7A8AD}">
  <dimension ref="A1:J51"/>
  <sheetViews>
    <sheetView tabSelected="1" topLeftCell="A2" workbookViewId="0">
      <selection activeCell="A7" sqref="A5:B10"/>
    </sheetView>
  </sheetViews>
  <sheetFormatPr defaultRowHeight="14.4" x14ac:dyDescent="0.3"/>
  <cols>
    <col min="1" max="1" width="12.88671875" customWidth="1"/>
    <col min="2" max="2" width="13.44140625" customWidth="1"/>
    <col min="4" max="4" width="15.6640625" customWidth="1"/>
    <col min="5" max="5" width="11.33203125" customWidth="1"/>
    <col min="6" max="6" width="11" customWidth="1"/>
    <col min="7" max="7" width="14.21875" customWidth="1"/>
    <col min="8" max="9" width="13.5546875" customWidth="1"/>
    <col min="10" max="10" width="12.21875" bestFit="1" customWidth="1"/>
    <col min="11" max="11" width="14.21875" customWidth="1"/>
  </cols>
  <sheetData>
    <row r="1" spans="1:10" ht="20.100000000000001" customHeight="1" thickBot="1" x14ac:dyDescent="0.35">
      <c r="A1" s="1" t="s">
        <v>0</v>
      </c>
      <c r="B1" s="1" t="s">
        <v>1</v>
      </c>
      <c r="C1" s="1" t="s">
        <v>2</v>
      </c>
      <c r="D1" s="1" t="s">
        <v>3</v>
      </c>
      <c r="E1" s="1" t="s">
        <v>4</v>
      </c>
      <c r="F1" s="1" t="s">
        <v>5</v>
      </c>
      <c r="G1" s="1" t="s">
        <v>6</v>
      </c>
      <c r="H1" s="1" t="s">
        <v>7</v>
      </c>
      <c r="I1" s="5" t="s">
        <v>33</v>
      </c>
      <c r="J1" s="5" t="s">
        <v>29</v>
      </c>
    </row>
    <row r="2" spans="1:10" ht="15" thickTop="1" x14ac:dyDescent="0.3">
      <c r="A2" s="2">
        <v>44246</v>
      </c>
      <c r="B2" t="s">
        <v>8</v>
      </c>
      <c r="C2" t="s">
        <v>9</v>
      </c>
      <c r="D2" t="s">
        <v>10</v>
      </c>
      <c r="E2" s="3">
        <v>84</v>
      </c>
      <c r="F2" s="4">
        <f>IF(D2="Tent",6000,IF(D2="Blender",3500,IF(D2="Action Figure",1200,IF(D2="Novel",1000,IF(D2="Sneakers",4000,IF(D2="Smartphone",10000,IF(D2="moisturizer",600,"No Product Found")))))))</f>
        <v>6000</v>
      </c>
      <c r="G2" s="4">
        <f>IF(D2="Tent",4000,IF(D2="Blender",2500,IF(D2="Action Figure",800,IF(D2="Novel",700,IF(D2="Sneakers",3000,IF(D2="Smartphone",7000,IF(D2="moisturizer",400,"No Product Found")))))))</f>
        <v>4000</v>
      </c>
      <c r="H2" s="4">
        <f>F2*E2</f>
        <v>504000</v>
      </c>
      <c r="I2" s="6">
        <f>H2-(G2*E2)</f>
        <v>168000</v>
      </c>
      <c r="J2" s="11">
        <f>SUM(H51)</f>
        <v>438000</v>
      </c>
    </row>
    <row r="3" spans="1:10" x14ac:dyDescent="0.3">
      <c r="A3" s="2">
        <v>44446</v>
      </c>
      <c r="B3" t="s">
        <v>11</v>
      </c>
      <c r="C3" t="s">
        <v>12</v>
      </c>
      <c r="D3" t="s">
        <v>13</v>
      </c>
      <c r="E3" s="3">
        <v>128</v>
      </c>
      <c r="F3" s="4">
        <f t="shared" ref="F3:F51" si="0">IF(D3="Tent",6000,IF(D3="Blender",3500,IF(D3="Action Figure",1200,IF(D3="Novel",1000,IF(D3="Sneakers",4000,IF(D3="Smartphone",10000,IF(D3="moisturizer",600,"No Product Found")))))))</f>
        <v>3500</v>
      </c>
      <c r="G3" s="4">
        <f t="shared" ref="G3:G51" si="1">IF(D3="Tent",4000,IF(D3="Blender",2500,IF(D3="Action Figure",800,IF(D3="Novel",700,IF(D3="Sneakers",3000,IF(D3="Smartphone",7000,IF(D3="moisturizer",400,"No Product Found")))))))</f>
        <v>2500</v>
      </c>
      <c r="H3" s="4">
        <f t="shared" ref="H3:H51" si="2">F3*E3</f>
        <v>448000</v>
      </c>
      <c r="I3" s="6">
        <f t="shared" ref="I3:I51" si="3">H3-(G3*E3)</f>
        <v>128000</v>
      </c>
      <c r="J3" t="s">
        <v>30</v>
      </c>
    </row>
    <row r="4" spans="1:10" x14ac:dyDescent="0.3">
      <c r="A4" s="2">
        <v>44230</v>
      </c>
      <c r="B4" t="s">
        <v>14</v>
      </c>
      <c r="C4" t="s">
        <v>15</v>
      </c>
      <c r="D4" t="s">
        <v>16</v>
      </c>
      <c r="E4" s="3">
        <v>136</v>
      </c>
      <c r="F4" s="4">
        <f t="shared" si="0"/>
        <v>1200</v>
      </c>
      <c r="G4" s="4">
        <f t="shared" si="1"/>
        <v>800</v>
      </c>
      <c r="H4" s="4">
        <f t="shared" si="2"/>
        <v>163200</v>
      </c>
      <c r="I4" s="6">
        <f t="shared" si="3"/>
        <v>54400</v>
      </c>
      <c r="J4">
        <f>SUM(E51)</f>
        <v>73</v>
      </c>
    </row>
    <row r="5" spans="1:10" x14ac:dyDescent="0.3">
      <c r="A5" s="2">
        <v>44085</v>
      </c>
      <c r="B5" t="s">
        <v>17</v>
      </c>
      <c r="C5" t="s">
        <v>18</v>
      </c>
      <c r="D5" t="s">
        <v>19</v>
      </c>
      <c r="E5" s="3">
        <v>91</v>
      </c>
      <c r="F5" s="4">
        <f t="shared" si="0"/>
        <v>1000</v>
      </c>
      <c r="G5" s="4">
        <f t="shared" si="1"/>
        <v>700</v>
      </c>
      <c r="H5" s="4">
        <f t="shared" si="2"/>
        <v>91000</v>
      </c>
      <c r="I5" s="6">
        <f t="shared" si="3"/>
        <v>27300</v>
      </c>
      <c r="J5" t="s">
        <v>31</v>
      </c>
    </row>
    <row r="6" spans="1:10" x14ac:dyDescent="0.3">
      <c r="A6" s="2">
        <v>44462</v>
      </c>
      <c r="B6" t="s">
        <v>20</v>
      </c>
      <c r="C6" t="s">
        <v>9</v>
      </c>
      <c r="D6" t="s">
        <v>21</v>
      </c>
      <c r="E6" s="3">
        <v>110</v>
      </c>
      <c r="F6" s="4">
        <f t="shared" si="0"/>
        <v>4000</v>
      </c>
      <c r="G6" s="4">
        <f t="shared" si="1"/>
        <v>3000</v>
      </c>
      <c r="H6" s="4">
        <f t="shared" si="2"/>
        <v>440000</v>
      </c>
      <c r="I6" s="6">
        <f t="shared" si="3"/>
        <v>110000</v>
      </c>
      <c r="J6" s="11">
        <f>SUM(I51)</f>
        <v>146000</v>
      </c>
    </row>
    <row r="7" spans="1:10" x14ac:dyDescent="0.3">
      <c r="A7" s="2">
        <v>44105</v>
      </c>
      <c r="B7" t="s">
        <v>22</v>
      </c>
      <c r="C7" t="s">
        <v>12</v>
      </c>
      <c r="D7" t="s">
        <v>16</v>
      </c>
      <c r="E7" s="3">
        <v>51</v>
      </c>
      <c r="F7" s="4">
        <f t="shared" si="0"/>
        <v>1200</v>
      </c>
      <c r="G7" s="4">
        <f t="shared" si="1"/>
        <v>800</v>
      </c>
      <c r="H7" s="4">
        <f t="shared" si="2"/>
        <v>61200</v>
      </c>
      <c r="I7" s="6">
        <f t="shared" si="3"/>
        <v>20400</v>
      </c>
      <c r="J7" t="s">
        <v>32</v>
      </c>
    </row>
    <row r="8" spans="1:10" x14ac:dyDescent="0.3">
      <c r="A8" s="2">
        <v>44413</v>
      </c>
      <c r="B8" t="s">
        <v>23</v>
      </c>
      <c r="C8" t="s">
        <v>18</v>
      </c>
      <c r="D8" t="s">
        <v>19</v>
      </c>
      <c r="E8" s="3">
        <v>78</v>
      </c>
      <c r="F8" s="4">
        <f t="shared" si="0"/>
        <v>1000</v>
      </c>
      <c r="G8" s="4">
        <f t="shared" si="1"/>
        <v>700</v>
      </c>
      <c r="H8" s="4">
        <f t="shared" si="2"/>
        <v>78000</v>
      </c>
      <c r="I8" s="6">
        <f t="shared" si="3"/>
        <v>23400</v>
      </c>
      <c r="J8" s="11">
        <f>AVERAGE(H51)</f>
        <v>438000</v>
      </c>
    </row>
    <row r="9" spans="1:10" x14ac:dyDescent="0.3">
      <c r="A9" s="2">
        <v>44141</v>
      </c>
      <c r="B9" t="s">
        <v>24</v>
      </c>
      <c r="C9" t="s">
        <v>15</v>
      </c>
      <c r="D9" t="s">
        <v>10</v>
      </c>
      <c r="E9" s="3">
        <v>146</v>
      </c>
      <c r="F9" s="4">
        <f t="shared" si="0"/>
        <v>6000</v>
      </c>
      <c r="G9" s="4">
        <f t="shared" si="1"/>
        <v>4000</v>
      </c>
      <c r="H9" s="4">
        <f t="shared" si="2"/>
        <v>876000</v>
      </c>
      <c r="I9" s="6">
        <f t="shared" si="3"/>
        <v>292000</v>
      </c>
    </row>
    <row r="10" spans="1:10" x14ac:dyDescent="0.3">
      <c r="A10" s="2">
        <v>44223</v>
      </c>
      <c r="B10" t="s">
        <v>25</v>
      </c>
      <c r="C10" t="s">
        <v>9</v>
      </c>
      <c r="D10" t="s">
        <v>26</v>
      </c>
      <c r="E10" s="3">
        <v>101</v>
      </c>
      <c r="F10" s="4">
        <f t="shared" si="0"/>
        <v>600</v>
      </c>
      <c r="G10" s="4">
        <f t="shared" si="1"/>
        <v>400</v>
      </c>
      <c r="H10" s="4">
        <f t="shared" si="2"/>
        <v>60600</v>
      </c>
      <c r="I10" s="6">
        <f t="shared" si="3"/>
        <v>20200</v>
      </c>
    </row>
    <row r="11" spans="1:10" x14ac:dyDescent="0.3">
      <c r="A11" s="2">
        <v>44442</v>
      </c>
      <c r="B11" t="s">
        <v>27</v>
      </c>
      <c r="C11" t="s">
        <v>15</v>
      </c>
      <c r="D11" t="s">
        <v>10</v>
      </c>
      <c r="E11" s="3">
        <v>52</v>
      </c>
      <c r="F11" s="4">
        <f t="shared" si="0"/>
        <v>6000</v>
      </c>
      <c r="G11" s="4">
        <f t="shared" si="1"/>
        <v>4000</v>
      </c>
      <c r="H11" s="4">
        <f t="shared" si="2"/>
        <v>312000</v>
      </c>
      <c r="I11" s="6">
        <f t="shared" si="3"/>
        <v>104000</v>
      </c>
    </row>
    <row r="12" spans="1:10" x14ac:dyDescent="0.3">
      <c r="A12" s="2">
        <v>44469</v>
      </c>
      <c r="B12" t="s">
        <v>27</v>
      </c>
      <c r="C12" t="s">
        <v>12</v>
      </c>
      <c r="D12" t="s">
        <v>16</v>
      </c>
      <c r="E12" s="3">
        <v>55</v>
      </c>
      <c r="F12" s="4">
        <f t="shared" si="0"/>
        <v>1200</v>
      </c>
      <c r="G12" s="4">
        <f t="shared" si="1"/>
        <v>800</v>
      </c>
      <c r="H12" s="4">
        <f t="shared" si="2"/>
        <v>66000</v>
      </c>
      <c r="I12" s="6">
        <f t="shared" si="3"/>
        <v>22000</v>
      </c>
    </row>
    <row r="13" spans="1:10" x14ac:dyDescent="0.3">
      <c r="A13" s="2">
        <v>44084</v>
      </c>
      <c r="B13" t="s">
        <v>27</v>
      </c>
      <c r="C13" t="s">
        <v>15</v>
      </c>
      <c r="D13" t="s">
        <v>19</v>
      </c>
      <c r="E13" s="3">
        <v>137</v>
      </c>
      <c r="F13" s="4">
        <f t="shared" si="0"/>
        <v>1000</v>
      </c>
      <c r="G13" s="4">
        <f t="shared" si="1"/>
        <v>700</v>
      </c>
      <c r="H13" s="4">
        <f t="shared" si="2"/>
        <v>137000</v>
      </c>
      <c r="I13" s="6">
        <f t="shared" si="3"/>
        <v>41100</v>
      </c>
    </row>
    <row r="14" spans="1:10" x14ac:dyDescent="0.3">
      <c r="A14" s="2">
        <v>44404</v>
      </c>
      <c r="B14" t="s">
        <v>24</v>
      </c>
      <c r="C14" t="s">
        <v>15</v>
      </c>
      <c r="D14" t="s">
        <v>13</v>
      </c>
      <c r="E14" s="3">
        <v>96</v>
      </c>
      <c r="F14" s="4">
        <f t="shared" si="0"/>
        <v>3500</v>
      </c>
      <c r="G14" s="4">
        <f t="shared" si="1"/>
        <v>2500</v>
      </c>
      <c r="H14" s="4">
        <f t="shared" si="2"/>
        <v>336000</v>
      </c>
      <c r="I14" s="6">
        <f t="shared" si="3"/>
        <v>96000</v>
      </c>
    </row>
    <row r="15" spans="1:10" x14ac:dyDescent="0.3">
      <c r="A15" s="2">
        <v>44113</v>
      </c>
      <c r="B15" t="s">
        <v>25</v>
      </c>
      <c r="C15" t="s">
        <v>12</v>
      </c>
      <c r="D15" t="s">
        <v>21</v>
      </c>
      <c r="E15" s="3">
        <v>52</v>
      </c>
      <c r="F15" s="4">
        <f t="shared" si="0"/>
        <v>4000</v>
      </c>
      <c r="G15" s="4">
        <f t="shared" si="1"/>
        <v>3000</v>
      </c>
      <c r="H15" s="4">
        <f t="shared" si="2"/>
        <v>208000</v>
      </c>
      <c r="I15" s="6">
        <f t="shared" si="3"/>
        <v>52000</v>
      </c>
    </row>
    <row r="16" spans="1:10" x14ac:dyDescent="0.3">
      <c r="A16" s="2">
        <v>44292</v>
      </c>
      <c r="B16" t="s">
        <v>17</v>
      </c>
      <c r="C16" t="s">
        <v>9</v>
      </c>
      <c r="D16" t="s">
        <v>13</v>
      </c>
      <c r="E16" s="3">
        <v>76</v>
      </c>
      <c r="F16" s="4">
        <f t="shared" si="0"/>
        <v>3500</v>
      </c>
      <c r="G16" s="4">
        <f t="shared" si="1"/>
        <v>2500</v>
      </c>
      <c r="H16" s="4">
        <f t="shared" si="2"/>
        <v>266000</v>
      </c>
      <c r="I16" s="6">
        <f t="shared" si="3"/>
        <v>76000</v>
      </c>
    </row>
    <row r="17" spans="1:9" x14ac:dyDescent="0.3">
      <c r="A17" s="2">
        <v>44362</v>
      </c>
      <c r="B17" t="s">
        <v>11</v>
      </c>
      <c r="C17" t="s">
        <v>18</v>
      </c>
      <c r="D17" t="s">
        <v>21</v>
      </c>
      <c r="E17" s="3">
        <v>145</v>
      </c>
      <c r="F17" s="4">
        <f t="shared" si="0"/>
        <v>4000</v>
      </c>
      <c r="G17" s="4">
        <f t="shared" si="1"/>
        <v>3000</v>
      </c>
      <c r="H17" s="4">
        <f t="shared" si="2"/>
        <v>580000</v>
      </c>
      <c r="I17" s="6">
        <f t="shared" si="3"/>
        <v>145000</v>
      </c>
    </row>
    <row r="18" spans="1:9" x14ac:dyDescent="0.3">
      <c r="A18" s="2">
        <v>44083</v>
      </c>
      <c r="B18" t="s">
        <v>8</v>
      </c>
      <c r="C18" t="s">
        <v>15</v>
      </c>
      <c r="D18" t="s">
        <v>26</v>
      </c>
      <c r="E18" s="3">
        <v>83</v>
      </c>
      <c r="F18" s="4">
        <f t="shared" si="0"/>
        <v>600</v>
      </c>
      <c r="G18" s="4">
        <f t="shared" si="1"/>
        <v>400</v>
      </c>
      <c r="H18" s="4">
        <f t="shared" si="2"/>
        <v>49800</v>
      </c>
      <c r="I18" s="6">
        <f t="shared" si="3"/>
        <v>16600</v>
      </c>
    </row>
    <row r="19" spans="1:9" x14ac:dyDescent="0.3">
      <c r="A19" s="2">
        <v>44421</v>
      </c>
      <c r="B19" t="s">
        <v>20</v>
      </c>
      <c r="C19" t="s">
        <v>15</v>
      </c>
      <c r="D19" t="s">
        <v>19</v>
      </c>
      <c r="E19" s="3">
        <v>91</v>
      </c>
      <c r="F19" s="4">
        <f t="shared" si="0"/>
        <v>1000</v>
      </c>
      <c r="G19" s="4">
        <f t="shared" si="1"/>
        <v>700</v>
      </c>
      <c r="H19" s="4">
        <f t="shared" si="2"/>
        <v>91000</v>
      </c>
      <c r="I19" s="6">
        <f t="shared" si="3"/>
        <v>27300</v>
      </c>
    </row>
    <row r="20" spans="1:9" x14ac:dyDescent="0.3">
      <c r="A20" s="2">
        <v>44070</v>
      </c>
      <c r="B20" t="s">
        <v>22</v>
      </c>
      <c r="C20" t="s">
        <v>9</v>
      </c>
      <c r="D20" t="s">
        <v>28</v>
      </c>
      <c r="E20" s="3">
        <v>108</v>
      </c>
      <c r="F20" s="4">
        <f t="shared" si="0"/>
        <v>10000</v>
      </c>
      <c r="G20" s="4">
        <f t="shared" si="1"/>
        <v>7000</v>
      </c>
      <c r="H20" s="4">
        <f t="shared" si="2"/>
        <v>1080000</v>
      </c>
      <c r="I20" s="6">
        <f t="shared" si="3"/>
        <v>324000</v>
      </c>
    </row>
    <row r="21" spans="1:9" x14ac:dyDescent="0.3">
      <c r="A21" s="2">
        <v>44293</v>
      </c>
      <c r="B21" t="s">
        <v>14</v>
      </c>
      <c r="C21" t="s">
        <v>18</v>
      </c>
      <c r="D21" t="s">
        <v>21</v>
      </c>
      <c r="E21" s="3">
        <v>144</v>
      </c>
      <c r="F21" s="4">
        <f t="shared" si="0"/>
        <v>4000</v>
      </c>
      <c r="G21" s="4">
        <f t="shared" si="1"/>
        <v>3000</v>
      </c>
      <c r="H21" s="4">
        <f t="shared" si="2"/>
        <v>576000</v>
      </c>
      <c r="I21" s="6">
        <f t="shared" si="3"/>
        <v>144000</v>
      </c>
    </row>
    <row r="22" spans="1:9" x14ac:dyDescent="0.3">
      <c r="A22" s="2">
        <v>43990</v>
      </c>
      <c r="B22" t="s">
        <v>20</v>
      </c>
      <c r="C22" t="s">
        <v>15</v>
      </c>
      <c r="D22" t="s">
        <v>26</v>
      </c>
      <c r="E22" s="3">
        <v>92</v>
      </c>
      <c r="F22" s="4">
        <f t="shared" si="0"/>
        <v>600</v>
      </c>
      <c r="G22" s="4">
        <f t="shared" si="1"/>
        <v>400</v>
      </c>
      <c r="H22" s="4">
        <f t="shared" si="2"/>
        <v>55200</v>
      </c>
      <c r="I22" s="6">
        <f t="shared" si="3"/>
        <v>18400</v>
      </c>
    </row>
    <row r="23" spans="1:9" x14ac:dyDescent="0.3">
      <c r="A23" s="2">
        <v>44551</v>
      </c>
      <c r="B23" t="s">
        <v>24</v>
      </c>
      <c r="C23" t="s">
        <v>9</v>
      </c>
      <c r="D23" t="s">
        <v>10</v>
      </c>
      <c r="E23" s="3">
        <v>71</v>
      </c>
      <c r="F23" s="4">
        <f t="shared" si="0"/>
        <v>6000</v>
      </c>
      <c r="G23" s="4">
        <f t="shared" si="1"/>
        <v>4000</v>
      </c>
      <c r="H23" s="4">
        <f t="shared" si="2"/>
        <v>426000</v>
      </c>
      <c r="I23" s="6">
        <f t="shared" si="3"/>
        <v>142000</v>
      </c>
    </row>
    <row r="24" spans="1:9" x14ac:dyDescent="0.3">
      <c r="A24" s="2">
        <v>44418</v>
      </c>
      <c r="B24" t="s">
        <v>8</v>
      </c>
      <c r="C24" t="s">
        <v>12</v>
      </c>
      <c r="D24" t="s">
        <v>26</v>
      </c>
      <c r="E24" s="3">
        <v>103</v>
      </c>
      <c r="F24" s="4">
        <f t="shared" si="0"/>
        <v>600</v>
      </c>
      <c r="G24" s="4">
        <f t="shared" si="1"/>
        <v>400</v>
      </c>
      <c r="H24" s="4">
        <f t="shared" si="2"/>
        <v>61800</v>
      </c>
      <c r="I24" s="6">
        <f t="shared" si="3"/>
        <v>20600</v>
      </c>
    </row>
    <row r="25" spans="1:9" x14ac:dyDescent="0.3">
      <c r="A25" s="2">
        <v>44532</v>
      </c>
      <c r="B25" t="s">
        <v>27</v>
      </c>
      <c r="C25" t="s">
        <v>18</v>
      </c>
      <c r="D25" t="s">
        <v>19</v>
      </c>
      <c r="E25" s="3">
        <v>55</v>
      </c>
      <c r="F25" s="4">
        <f t="shared" si="0"/>
        <v>1000</v>
      </c>
      <c r="G25" s="4">
        <f t="shared" si="1"/>
        <v>700</v>
      </c>
      <c r="H25" s="4">
        <f t="shared" si="2"/>
        <v>55000</v>
      </c>
      <c r="I25" s="6">
        <f t="shared" si="3"/>
        <v>16500</v>
      </c>
    </row>
    <row r="26" spans="1:9" x14ac:dyDescent="0.3">
      <c r="A26" s="2">
        <v>44438</v>
      </c>
      <c r="B26" t="s">
        <v>22</v>
      </c>
      <c r="C26" t="s">
        <v>12</v>
      </c>
      <c r="D26" t="s">
        <v>21</v>
      </c>
      <c r="E26" s="3">
        <v>93</v>
      </c>
      <c r="F26" s="4">
        <f t="shared" si="0"/>
        <v>4000</v>
      </c>
      <c r="G26" s="4">
        <f t="shared" si="1"/>
        <v>3000</v>
      </c>
      <c r="H26" s="4">
        <f t="shared" si="2"/>
        <v>372000</v>
      </c>
      <c r="I26" s="6">
        <f t="shared" si="3"/>
        <v>93000</v>
      </c>
    </row>
    <row r="27" spans="1:9" x14ac:dyDescent="0.3">
      <c r="A27" s="2">
        <v>43971</v>
      </c>
      <c r="B27" t="s">
        <v>14</v>
      </c>
      <c r="C27" t="s">
        <v>15</v>
      </c>
      <c r="D27" t="s">
        <v>26</v>
      </c>
      <c r="E27" s="3">
        <v>143</v>
      </c>
      <c r="F27" s="4">
        <f t="shared" si="0"/>
        <v>600</v>
      </c>
      <c r="G27" s="4">
        <f t="shared" si="1"/>
        <v>400</v>
      </c>
      <c r="H27" s="4">
        <f t="shared" si="2"/>
        <v>85800</v>
      </c>
      <c r="I27" s="6">
        <f t="shared" si="3"/>
        <v>28600</v>
      </c>
    </row>
    <row r="28" spans="1:9" x14ac:dyDescent="0.3">
      <c r="A28" s="2">
        <v>44452</v>
      </c>
      <c r="B28" t="s">
        <v>23</v>
      </c>
      <c r="C28" t="s">
        <v>9</v>
      </c>
      <c r="D28" t="s">
        <v>13</v>
      </c>
      <c r="E28" s="3">
        <v>143</v>
      </c>
      <c r="F28" s="4">
        <f t="shared" si="0"/>
        <v>3500</v>
      </c>
      <c r="G28" s="4">
        <f t="shared" si="1"/>
        <v>2500</v>
      </c>
      <c r="H28" s="4">
        <f t="shared" si="2"/>
        <v>500500</v>
      </c>
      <c r="I28" s="6">
        <f t="shared" si="3"/>
        <v>143000</v>
      </c>
    </row>
    <row r="29" spans="1:9" x14ac:dyDescent="0.3">
      <c r="A29" s="2">
        <v>44496</v>
      </c>
      <c r="B29" t="s">
        <v>25</v>
      </c>
      <c r="C29" t="s">
        <v>18</v>
      </c>
      <c r="D29" t="s">
        <v>26</v>
      </c>
      <c r="E29" s="3">
        <v>99</v>
      </c>
      <c r="F29" s="4">
        <f t="shared" si="0"/>
        <v>600</v>
      </c>
      <c r="G29" s="4">
        <f t="shared" si="1"/>
        <v>400</v>
      </c>
      <c r="H29" s="4">
        <f t="shared" si="2"/>
        <v>59400</v>
      </c>
      <c r="I29" s="6">
        <f t="shared" si="3"/>
        <v>19800</v>
      </c>
    </row>
    <row r="30" spans="1:9" x14ac:dyDescent="0.3">
      <c r="A30" s="2">
        <v>44187</v>
      </c>
      <c r="B30" t="s">
        <v>17</v>
      </c>
      <c r="C30" t="s">
        <v>9</v>
      </c>
      <c r="D30" t="s">
        <v>19</v>
      </c>
      <c r="E30" s="3">
        <v>120</v>
      </c>
      <c r="F30" s="4">
        <f t="shared" si="0"/>
        <v>1000</v>
      </c>
      <c r="G30" s="4">
        <f t="shared" si="1"/>
        <v>700</v>
      </c>
      <c r="H30" s="4">
        <f t="shared" si="2"/>
        <v>120000</v>
      </c>
      <c r="I30" s="6">
        <f t="shared" si="3"/>
        <v>36000</v>
      </c>
    </row>
    <row r="31" spans="1:9" x14ac:dyDescent="0.3">
      <c r="A31" s="2">
        <v>44405</v>
      </c>
      <c r="B31" t="s">
        <v>11</v>
      </c>
      <c r="C31" t="s">
        <v>15</v>
      </c>
      <c r="D31" t="s">
        <v>13</v>
      </c>
      <c r="E31" s="3">
        <v>66</v>
      </c>
      <c r="F31" s="4">
        <f t="shared" si="0"/>
        <v>3500</v>
      </c>
      <c r="G31" s="4">
        <f t="shared" si="1"/>
        <v>2500</v>
      </c>
      <c r="H31" s="4">
        <f t="shared" si="2"/>
        <v>231000</v>
      </c>
      <c r="I31" s="6">
        <f t="shared" si="3"/>
        <v>66000</v>
      </c>
    </row>
    <row r="32" spans="1:9" x14ac:dyDescent="0.3">
      <c r="A32" s="2">
        <v>44103</v>
      </c>
      <c r="B32" t="s">
        <v>25</v>
      </c>
      <c r="C32" t="s">
        <v>18</v>
      </c>
      <c r="D32" t="s">
        <v>16</v>
      </c>
      <c r="E32" s="3">
        <v>88</v>
      </c>
      <c r="F32" s="4">
        <f t="shared" si="0"/>
        <v>1200</v>
      </c>
      <c r="G32" s="4">
        <f t="shared" si="1"/>
        <v>800</v>
      </c>
      <c r="H32" s="4">
        <f t="shared" si="2"/>
        <v>105600</v>
      </c>
      <c r="I32" s="6">
        <f t="shared" si="3"/>
        <v>35200</v>
      </c>
    </row>
    <row r="33" spans="1:9" x14ac:dyDescent="0.3">
      <c r="A33" s="2">
        <v>44126</v>
      </c>
      <c r="B33" t="s">
        <v>17</v>
      </c>
      <c r="C33" t="s">
        <v>12</v>
      </c>
      <c r="D33" t="s">
        <v>28</v>
      </c>
      <c r="E33" s="3">
        <v>127</v>
      </c>
      <c r="F33" s="4">
        <f t="shared" si="0"/>
        <v>10000</v>
      </c>
      <c r="G33" s="4">
        <f t="shared" si="1"/>
        <v>7000</v>
      </c>
      <c r="H33" s="4">
        <f t="shared" si="2"/>
        <v>1270000</v>
      </c>
      <c r="I33" s="6">
        <f t="shared" si="3"/>
        <v>381000</v>
      </c>
    </row>
    <row r="34" spans="1:9" x14ac:dyDescent="0.3">
      <c r="A34" s="2">
        <v>43970</v>
      </c>
      <c r="B34" t="s">
        <v>20</v>
      </c>
      <c r="C34" t="s">
        <v>9</v>
      </c>
      <c r="D34" t="s">
        <v>21</v>
      </c>
      <c r="E34" s="3">
        <v>67</v>
      </c>
      <c r="F34" s="4">
        <f t="shared" si="0"/>
        <v>4000</v>
      </c>
      <c r="G34" s="4">
        <f t="shared" si="1"/>
        <v>3000</v>
      </c>
      <c r="H34" s="4">
        <f t="shared" si="2"/>
        <v>268000</v>
      </c>
      <c r="I34" s="6">
        <f t="shared" si="3"/>
        <v>67000</v>
      </c>
    </row>
    <row r="35" spans="1:9" x14ac:dyDescent="0.3">
      <c r="A35" s="2">
        <v>44536</v>
      </c>
      <c r="B35" t="s">
        <v>11</v>
      </c>
      <c r="C35" t="s">
        <v>12</v>
      </c>
      <c r="D35" t="s">
        <v>16</v>
      </c>
      <c r="E35" s="3">
        <v>67</v>
      </c>
      <c r="F35" s="4">
        <f t="shared" si="0"/>
        <v>1200</v>
      </c>
      <c r="G35" s="4">
        <f t="shared" si="1"/>
        <v>800</v>
      </c>
      <c r="H35" s="4">
        <f t="shared" si="2"/>
        <v>80400</v>
      </c>
      <c r="I35" s="6">
        <f t="shared" si="3"/>
        <v>26800</v>
      </c>
    </row>
    <row r="36" spans="1:9" x14ac:dyDescent="0.3">
      <c r="A36" s="2">
        <v>44069</v>
      </c>
      <c r="B36" t="s">
        <v>27</v>
      </c>
      <c r="C36" t="s">
        <v>15</v>
      </c>
      <c r="D36" t="s">
        <v>19</v>
      </c>
      <c r="E36" s="3">
        <v>149</v>
      </c>
      <c r="F36" s="4">
        <f t="shared" si="0"/>
        <v>1000</v>
      </c>
      <c r="G36" s="4">
        <f t="shared" si="1"/>
        <v>700</v>
      </c>
      <c r="H36" s="4">
        <f t="shared" si="2"/>
        <v>149000</v>
      </c>
      <c r="I36" s="6">
        <f t="shared" si="3"/>
        <v>44700</v>
      </c>
    </row>
    <row r="37" spans="1:9" x14ac:dyDescent="0.3">
      <c r="A37" s="2">
        <v>44378</v>
      </c>
      <c r="B37" t="s">
        <v>20</v>
      </c>
      <c r="C37" t="s">
        <v>18</v>
      </c>
      <c r="D37" t="s">
        <v>26</v>
      </c>
      <c r="E37" s="3">
        <v>104</v>
      </c>
      <c r="F37" s="4">
        <f t="shared" si="0"/>
        <v>600</v>
      </c>
      <c r="G37" s="4">
        <f t="shared" si="1"/>
        <v>400</v>
      </c>
      <c r="H37" s="4">
        <f t="shared" si="2"/>
        <v>62400</v>
      </c>
      <c r="I37" s="6">
        <f t="shared" si="3"/>
        <v>20800</v>
      </c>
    </row>
    <row r="38" spans="1:9" x14ac:dyDescent="0.3">
      <c r="A38" s="2">
        <v>44404</v>
      </c>
      <c r="B38" t="s">
        <v>24</v>
      </c>
      <c r="C38" t="s">
        <v>9</v>
      </c>
      <c r="D38" t="s">
        <v>26</v>
      </c>
      <c r="E38" s="3">
        <v>57</v>
      </c>
      <c r="F38" s="4">
        <f t="shared" si="0"/>
        <v>600</v>
      </c>
      <c r="G38" s="4">
        <f t="shared" si="1"/>
        <v>400</v>
      </c>
      <c r="H38" s="4">
        <f t="shared" si="2"/>
        <v>34200</v>
      </c>
      <c r="I38" s="6">
        <f t="shared" si="3"/>
        <v>11400</v>
      </c>
    </row>
    <row r="39" spans="1:9" x14ac:dyDescent="0.3">
      <c r="A39" s="2">
        <v>44109</v>
      </c>
      <c r="B39" t="s">
        <v>14</v>
      </c>
      <c r="C39" t="s">
        <v>12</v>
      </c>
      <c r="D39" t="s">
        <v>26</v>
      </c>
      <c r="E39" s="3">
        <v>90</v>
      </c>
      <c r="F39" s="4">
        <f t="shared" si="0"/>
        <v>600</v>
      </c>
      <c r="G39" s="4">
        <f t="shared" si="1"/>
        <v>400</v>
      </c>
      <c r="H39" s="4">
        <f t="shared" si="2"/>
        <v>54000</v>
      </c>
      <c r="I39" s="6">
        <f t="shared" si="3"/>
        <v>18000</v>
      </c>
    </row>
    <row r="40" spans="1:9" x14ac:dyDescent="0.3">
      <c r="A40" s="2">
        <v>44076</v>
      </c>
      <c r="B40" t="s">
        <v>22</v>
      </c>
      <c r="C40" t="s">
        <v>15</v>
      </c>
      <c r="D40" t="s">
        <v>26</v>
      </c>
      <c r="E40" s="3">
        <v>67</v>
      </c>
      <c r="F40" s="4">
        <f t="shared" si="0"/>
        <v>600</v>
      </c>
      <c r="G40" s="4">
        <f t="shared" si="1"/>
        <v>400</v>
      </c>
      <c r="H40" s="4">
        <f t="shared" si="2"/>
        <v>40200</v>
      </c>
      <c r="I40" s="6">
        <f t="shared" si="3"/>
        <v>13400</v>
      </c>
    </row>
    <row r="41" spans="1:9" x14ac:dyDescent="0.3">
      <c r="A41" s="2">
        <v>44441</v>
      </c>
      <c r="B41" t="s">
        <v>8</v>
      </c>
      <c r="C41" t="s">
        <v>18</v>
      </c>
      <c r="D41" t="s">
        <v>21</v>
      </c>
      <c r="E41" s="3">
        <v>127</v>
      </c>
      <c r="F41" s="4">
        <f t="shared" si="0"/>
        <v>4000</v>
      </c>
      <c r="G41" s="4">
        <f t="shared" si="1"/>
        <v>3000</v>
      </c>
      <c r="H41" s="4">
        <f t="shared" si="2"/>
        <v>508000</v>
      </c>
      <c r="I41" s="6">
        <f t="shared" si="3"/>
        <v>127000</v>
      </c>
    </row>
    <row r="42" spans="1:9" x14ac:dyDescent="0.3">
      <c r="A42" s="2">
        <v>44299</v>
      </c>
      <c r="B42" t="s">
        <v>22</v>
      </c>
      <c r="C42" t="s">
        <v>9</v>
      </c>
      <c r="D42" t="s">
        <v>19</v>
      </c>
      <c r="E42" s="3">
        <v>108</v>
      </c>
      <c r="F42" s="4">
        <f t="shared" si="0"/>
        <v>1000</v>
      </c>
      <c r="G42" s="4">
        <f t="shared" si="1"/>
        <v>700</v>
      </c>
      <c r="H42" s="4">
        <f t="shared" si="2"/>
        <v>108000</v>
      </c>
      <c r="I42" s="6">
        <f t="shared" si="3"/>
        <v>32400</v>
      </c>
    </row>
    <row r="43" spans="1:9" x14ac:dyDescent="0.3">
      <c r="A43" s="2">
        <v>44322</v>
      </c>
      <c r="B43" t="s">
        <v>14</v>
      </c>
      <c r="C43" t="s">
        <v>12</v>
      </c>
      <c r="D43" t="s">
        <v>13</v>
      </c>
      <c r="E43" s="3">
        <v>66</v>
      </c>
      <c r="F43" s="4">
        <f t="shared" si="0"/>
        <v>3500</v>
      </c>
      <c r="G43" s="4">
        <f t="shared" si="1"/>
        <v>2500</v>
      </c>
      <c r="H43" s="4">
        <f t="shared" si="2"/>
        <v>231000</v>
      </c>
      <c r="I43" s="6">
        <f t="shared" si="3"/>
        <v>66000</v>
      </c>
    </row>
    <row r="44" spans="1:9" x14ac:dyDescent="0.3">
      <c r="A44" s="2">
        <v>44211</v>
      </c>
      <c r="B44" t="s">
        <v>8</v>
      </c>
      <c r="C44" t="s">
        <v>18</v>
      </c>
      <c r="D44" t="s">
        <v>10</v>
      </c>
      <c r="E44" s="3">
        <v>78</v>
      </c>
      <c r="F44" s="4">
        <f t="shared" si="0"/>
        <v>6000</v>
      </c>
      <c r="G44" s="4">
        <f t="shared" si="1"/>
        <v>4000</v>
      </c>
      <c r="H44" s="4">
        <f t="shared" si="2"/>
        <v>468000</v>
      </c>
      <c r="I44" s="6">
        <f t="shared" si="3"/>
        <v>156000</v>
      </c>
    </row>
    <row r="45" spans="1:9" x14ac:dyDescent="0.3">
      <c r="A45" s="2">
        <v>44070</v>
      </c>
      <c r="B45" t="s">
        <v>24</v>
      </c>
      <c r="C45" t="s">
        <v>15</v>
      </c>
      <c r="D45" t="s">
        <v>19</v>
      </c>
      <c r="E45" s="3">
        <v>69</v>
      </c>
      <c r="F45" s="4">
        <f t="shared" si="0"/>
        <v>1000</v>
      </c>
      <c r="G45" s="4">
        <f t="shared" si="1"/>
        <v>700</v>
      </c>
      <c r="H45" s="4">
        <f t="shared" si="2"/>
        <v>69000</v>
      </c>
      <c r="I45" s="6">
        <f t="shared" si="3"/>
        <v>20700</v>
      </c>
    </row>
    <row r="46" spans="1:9" x14ac:dyDescent="0.3">
      <c r="A46" s="2">
        <v>44232</v>
      </c>
      <c r="B46" t="s">
        <v>20</v>
      </c>
      <c r="C46" t="s">
        <v>9</v>
      </c>
      <c r="D46" t="s">
        <v>16</v>
      </c>
      <c r="E46" s="3">
        <v>59</v>
      </c>
      <c r="F46" s="4">
        <f t="shared" si="0"/>
        <v>1200</v>
      </c>
      <c r="G46" s="4">
        <f t="shared" si="1"/>
        <v>800</v>
      </c>
      <c r="H46" s="4">
        <f t="shared" si="2"/>
        <v>70800</v>
      </c>
      <c r="I46" s="6">
        <f t="shared" si="3"/>
        <v>23600</v>
      </c>
    </row>
    <row r="47" spans="1:9" x14ac:dyDescent="0.3">
      <c r="A47" s="2">
        <v>44517</v>
      </c>
      <c r="B47" t="s">
        <v>27</v>
      </c>
      <c r="C47" t="s">
        <v>15</v>
      </c>
      <c r="D47" t="s">
        <v>26</v>
      </c>
      <c r="E47" s="3">
        <v>109</v>
      </c>
      <c r="F47" s="4">
        <f t="shared" si="0"/>
        <v>600</v>
      </c>
      <c r="G47" s="4">
        <f t="shared" si="1"/>
        <v>400</v>
      </c>
      <c r="H47" s="4">
        <f t="shared" si="2"/>
        <v>65400</v>
      </c>
      <c r="I47" s="6">
        <f t="shared" si="3"/>
        <v>21800</v>
      </c>
    </row>
    <row r="48" spans="1:9" x14ac:dyDescent="0.3">
      <c r="A48" s="2">
        <v>44193</v>
      </c>
      <c r="B48" t="s">
        <v>25</v>
      </c>
      <c r="C48" t="s">
        <v>12</v>
      </c>
      <c r="D48" t="s">
        <v>21</v>
      </c>
      <c r="E48" s="3">
        <v>61</v>
      </c>
      <c r="F48" s="4">
        <f t="shared" si="0"/>
        <v>4000</v>
      </c>
      <c r="G48" s="4">
        <f t="shared" si="1"/>
        <v>3000</v>
      </c>
      <c r="H48" s="4">
        <f t="shared" si="2"/>
        <v>244000</v>
      </c>
      <c r="I48" s="6">
        <f t="shared" si="3"/>
        <v>61000</v>
      </c>
    </row>
    <row r="49" spans="1:9" x14ac:dyDescent="0.3">
      <c r="A49" s="2">
        <v>44496</v>
      </c>
      <c r="B49" t="s">
        <v>20</v>
      </c>
      <c r="C49" t="s">
        <v>18</v>
      </c>
      <c r="D49" t="s">
        <v>26</v>
      </c>
      <c r="E49" s="3">
        <v>130</v>
      </c>
      <c r="F49" s="4">
        <f t="shared" si="0"/>
        <v>600</v>
      </c>
      <c r="G49" s="4">
        <f t="shared" si="1"/>
        <v>400</v>
      </c>
      <c r="H49" s="4">
        <f t="shared" si="2"/>
        <v>78000</v>
      </c>
      <c r="I49" s="6">
        <f t="shared" si="3"/>
        <v>26000</v>
      </c>
    </row>
    <row r="50" spans="1:9" x14ac:dyDescent="0.3">
      <c r="A50" s="2">
        <v>44502</v>
      </c>
      <c r="B50" t="s">
        <v>17</v>
      </c>
      <c r="C50" t="s">
        <v>15</v>
      </c>
      <c r="D50" t="s">
        <v>13</v>
      </c>
      <c r="E50" s="3">
        <v>60</v>
      </c>
      <c r="F50" s="4">
        <f t="shared" si="0"/>
        <v>3500</v>
      </c>
      <c r="G50" s="4">
        <f t="shared" si="1"/>
        <v>2500</v>
      </c>
      <c r="H50" s="4">
        <f t="shared" si="2"/>
        <v>210000</v>
      </c>
      <c r="I50" s="6">
        <f t="shared" si="3"/>
        <v>60000</v>
      </c>
    </row>
    <row r="51" spans="1:9" x14ac:dyDescent="0.3">
      <c r="A51" s="2">
        <v>43958</v>
      </c>
      <c r="B51" t="s">
        <v>11</v>
      </c>
      <c r="C51" t="s">
        <v>12</v>
      </c>
      <c r="D51" t="s">
        <v>10</v>
      </c>
      <c r="E51" s="3">
        <v>73</v>
      </c>
      <c r="F51" s="4">
        <f t="shared" si="0"/>
        <v>6000</v>
      </c>
      <c r="G51" s="4">
        <f t="shared" si="1"/>
        <v>4000</v>
      </c>
      <c r="H51" s="4">
        <f t="shared" si="2"/>
        <v>438000</v>
      </c>
      <c r="I51" s="6">
        <f t="shared" si="3"/>
        <v>146000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SalesData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George Williams</dc:creator>
  <cp:lastModifiedBy>dineshkumar1105pro@outlook.com</cp:lastModifiedBy>
  <dcterms:created xsi:type="dcterms:W3CDTF">2024-05-30T14:35:02Z</dcterms:created>
  <dcterms:modified xsi:type="dcterms:W3CDTF">2026-08-17T07:13:02Z</dcterms:modified>
</cp:coreProperties>
</file>